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rientes348.sharepoint.com/sites/Marketing/Documentos Compartilhados/General/Pasta geral/Cardapios/Cardapio vinhos/Março 2025/"/>
    </mc:Choice>
  </mc:AlternateContent>
  <xr:revisionPtr revIDLastSave="13" documentId="8_{606E1EA5-F92C-4828-A5CC-65CDB92527D5}" xr6:coauthVersionLast="47" xr6:coauthVersionMax="47" xr10:uidLastSave="{33A51F11-183D-4F9B-8B38-A675E99E33B8}"/>
  <bookViews>
    <workbookView xWindow="-28920" yWindow="-105" windowWidth="29040" windowHeight="15720" xr2:uid="{887D38DA-FB23-4D78-8161-3037370B6861}"/>
  </bookViews>
  <sheets>
    <sheet name="Cardapio" sheetId="1" r:id="rId1"/>
  </sheets>
  <definedNames>
    <definedName name="_xlnm._FilterDatabase" localSheetId="0" hidden="1">Cardapio!$A$5:$N$186</definedName>
    <definedName name="_xlnm.Criteria" localSheetId="0">Cardapio!$A$1:$N$2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6" i="1" l="1"/>
  <c r="N95" i="1"/>
  <c r="N94" i="1"/>
  <c r="N185" i="1"/>
  <c r="N184" i="1"/>
  <c r="N183" i="1"/>
  <c r="N182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B2" i="1"/>
</calcChain>
</file>

<file path=xl/sharedStrings.xml><?xml version="1.0" encoding="utf-8"?>
<sst xmlns="http://schemas.openxmlformats.org/spreadsheetml/2006/main" count="1403" uniqueCount="227">
  <si>
    <t>Item</t>
  </si>
  <si>
    <t>Descrição do Item</t>
  </si>
  <si>
    <t>UM</t>
  </si>
  <si>
    <t>NCM</t>
  </si>
  <si>
    <t>Família</t>
  </si>
  <si>
    <t>Grande Grupo</t>
  </si>
  <si>
    <t>Grupo</t>
  </si>
  <si>
    <t>Subgrupo [*]</t>
  </si>
  <si>
    <t>Situação</t>
  </si>
  <si>
    <t>PAINEL</t>
  </si>
  <si>
    <t>Nome painel</t>
  </si>
  <si>
    <t>Preço venda</t>
  </si>
  <si>
    <t>Preço atualizado</t>
  </si>
  <si>
    <t>DIF</t>
  </si>
  <si>
    <t xml:space="preserve"> </t>
  </si>
  <si>
    <t>1/2 PAPAS FRITAS</t>
  </si>
  <si>
    <t>UNID</t>
  </si>
  <si>
    <t>VENDA</t>
  </si>
  <si>
    <t>CARDAPIO</t>
  </si>
  <si>
    <t>ACOMPANHAMENTO</t>
  </si>
  <si>
    <t>MEIO</t>
  </si>
  <si>
    <t>ATIVO</t>
  </si>
  <si>
    <t>1/2 POLENTA</t>
  </si>
  <si>
    <t>1/2 POLENTA PROV</t>
  </si>
  <si>
    <t>1/2 POLENTA QUES</t>
  </si>
  <si>
    <t>1/2 PAPA PROVENZ</t>
  </si>
  <si>
    <t>1/2 PAN AJO</t>
  </si>
  <si>
    <t>ENTRADAS</t>
  </si>
  <si>
    <t>1/2 ALCAPARRONES</t>
  </si>
  <si>
    <t>1/2 CHORIZO S/P</t>
  </si>
  <si>
    <t>1/2 CHORIZO C/P</t>
  </si>
  <si>
    <t>1/2 CHORIZO PERNIL</t>
  </si>
  <si>
    <t>1/2 MORCILLA</t>
  </si>
  <si>
    <t>1/2 MORC NUECES</t>
  </si>
  <si>
    <t>1/2 MATAMBRITO</t>
  </si>
  <si>
    <t>1/2 CHINCHULINES</t>
  </si>
  <si>
    <t>1/2 MOLLEJAS</t>
  </si>
  <si>
    <t>1/2 RINONES</t>
  </si>
  <si>
    <t>1/2 SAL D TOMATE</t>
  </si>
  <si>
    <t>SALADAS E VEGETAIS</t>
  </si>
  <si>
    <t>1/2 SALADA MISTA</t>
  </si>
  <si>
    <t>1/2 SAL RUCULA</t>
  </si>
  <si>
    <t>1/2 SALADA VERDE</t>
  </si>
  <si>
    <t>1/2 SAL ARGENTIN</t>
  </si>
  <si>
    <t>1/2 SALADA 348</t>
  </si>
  <si>
    <t>1/2 SAL PALMITO</t>
  </si>
  <si>
    <t>1/2 SAL JULIANA</t>
  </si>
  <si>
    <t>1/2 SAL RECOLETA</t>
  </si>
  <si>
    <t>1/2 SAL BARILOCH</t>
  </si>
  <si>
    <t>1/2 SAL QUINOA</t>
  </si>
  <si>
    <t>1/2 SAL COMPLETA</t>
  </si>
  <si>
    <t>CARNE</t>
  </si>
  <si>
    <t>1/2 RIB SHORT</t>
  </si>
  <si>
    <t>1/2 MILANESA SALADA</t>
  </si>
  <si>
    <t>1/2 MILANESA PROVENCAL</t>
  </si>
  <si>
    <t>1/2 PARMEGIANA</t>
  </si>
  <si>
    <t>1/2 CORTE ESPECIAL 348</t>
  </si>
  <si>
    <t>1/2 BIFE CHORIZO</t>
  </si>
  <si>
    <t>1/2 OJO DEL BIFE</t>
  </si>
  <si>
    <t>1/2 LOMITO LIGHT</t>
  </si>
  <si>
    <t>1/2 ASSADO TIRA</t>
  </si>
  <si>
    <t>1/2 TAPA CUADRIL</t>
  </si>
  <si>
    <t>POLLITO PROVENZAL</t>
  </si>
  <si>
    <t>INTEIRO</t>
  </si>
  <si>
    <t>MILANESA ENSALAD</t>
  </si>
  <si>
    <t>MILANESA PROVENZ</t>
  </si>
  <si>
    <t>ENTRANHA (FRALDINHA DO DIAFRAGMA)</t>
  </si>
  <si>
    <t>PARMEGIANA</t>
  </si>
  <si>
    <t>LOMITO LIGHT</t>
  </si>
  <si>
    <t>BIFE CHORIZO</t>
  </si>
  <si>
    <t>CORTE ESPEC 348</t>
  </si>
  <si>
    <t>ASSADO DE TIRA</t>
  </si>
  <si>
    <t>BIFE ANCHO</t>
  </si>
  <si>
    <t>OJO DEL BIFE</t>
  </si>
  <si>
    <t>CARRE DE CORDEIRO</t>
  </si>
  <si>
    <t>TAPA DE CUADRIL</t>
  </si>
  <si>
    <t>DENVER (REGIAO NOBRE DO ACEM)</t>
  </si>
  <si>
    <t>PORTEHOUSE (CONTRAFILE E FILET MIGNON COM OSSO)</t>
  </si>
  <si>
    <t>TOMAHAWK</t>
  </si>
  <si>
    <t>PARRILLADA</t>
  </si>
  <si>
    <t>1 k costela bovina</t>
  </si>
  <si>
    <t>CARNE KG 1 - 348</t>
  </si>
  <si>
    <t>1 k T-Bone</t>
  </si>
  <si>
    <t>1 kg ENTRANHA (FRALDINHA DO DIAFRAGMA)</t>
  </si>
  <si>
    <t>1k denver</t>
  </si>
  <si>
    <t>1 K LOMITO LIGHT</t>
  </si>
  <si>
    <t>KG/GR</t>
  </si>
  <si>
    <t>1 K MATAMBRITO</t>
  </si>
  <si>
    <t>1 K MORCILLA</t>
  </si>
  <si>
    <t>1 K MORCILLA DOC</t>
  </si>
  <si>
    <t>1 K BISTECA CORD</t>
  </si>
  <si>
    <t>1 K BIFE ANCHO</t>
  </si>
  <si>
    <t>1 K BIFE CHORIZO</t>
  </si>
  <si>
    <t>1 K ASADO TIRA</t>
  </si>
  <si>
    <t>1 K OJO BIFE</t>
  </si>
  <si>
    <t>KG</t>
  </si>
  <si>
    <t>1 K TAPA QUADRIL</t>
  </si>
  <si>
    <t>1 K CHORIZO</t>
  </si>
  <si>
    <t>1 K CHORIZO ARG</t>
  </si>
  <si>
    <t>1 K CHORIZO C/ P</t>
  </si>
  <si>
    <t>1 K CHORIZO S/ P</t>
  </si>
  <si>
    <t>1 K CHINCHULINES</t>
  </si>
  <si>
    <t>1 K MOLLEJAS</t>
  </si>
  <si>
    <t>1 K RINONES</t>
  </si>
  <si>
    <t>1 K COSTELA PORCO</t>
  </si>
  <si>
    <t>1 K PICANHA CORD</t>
  </si>
  <si>
    <t>EMP CARNE</t>
  </si>
  <si>
    <t>EMP QUEIJO</t>
  </si>
  <si>
    <t>EMP QUEIJO CEBOL</t>
  </si>
  <si>
    <t>EMP Q ALHO PORO</t>
  </si>
  <si>
    <t>EMP ZAPPALLITO</t>
  </si>
  <si>
    <t>EMP CARNE PASSAS</t>
  </si>
  <si>
    <t>MINI EMP CARNE</t>
  </si>
  <si>
    <t>MINI EMP QUEIJO</t>
  </si>
  <si>
    <t>MINI EMP MISTA</t>
  </si>
  <si>
    <t>PAN CHIMICHURRI</t>
  </si>
  <si>
    <t>PAN BLANCO</t>
  </si>
  <si>
    <t>PAN AJO</t>
  </si>
  <si>
    <t>1 UNID MORCILLA</t>
  </si>
  <si>
    <t>ALCAPARRONES</t>
  </si>
  <si>
    <t>1 UN MORCI NOZES</t>
  </si>
  <si>
    <t>PROVOLETA PARRIL</t>
  </si>
  <si>
    <t>CHORIZO S/P</t>
  </si>
  <si>
    <t>CHORIZO C/P</t>
  </si>
  <si>
    <t>CHORIZO PERNIL</t>
  </si>
  <si>
    <t>CHORIZO PAR. C/ Q.</t>
  </si>
  <si>
    <t>MORCILLA</t>
  </si>
  <si>
    <t>MORCILLA NUECES</t>
  </si>
  <si>
    <t>MATAMBRITO</t>
  </si>
  <si>
    <t>CHINCHULINES</t>
  </si>
  <si>
    <t>MOLLEJAS</t>
  </si>
  <si>
    <t>RINONES</t>
  </si>
  <si>
    <t>RUEDA DE ACHURAS</t>
  </si>
  <si>
    <t>JAMOM SERRANO</t>
  </si>
  <si>
    <t>BURRATA</t>
  </si>
  <si>
    <t>TABUA DE FRIOS 348</t>
  </si>
  <si>
    <t>PESCADO</t>
  </si>
  <si>
    <t>HUEVO FRITO</t>
  </si>
  <si>
    <t>ABACAXI N GRELHA</t>
  </si>
  <si>
    <t>ARROZ BLANCO</t>
  </si>
  <si>
    <t>ARROZ PROVENZAL</t>
  </si>
  <si>
    <t>ARROZ 348</t>
  </si>
  <si>
    <t>PAPAS FRITAS</t>
  </si>
  <si>
    <t>PAPAS PROVENZAL</t>
  </si>
  <si>
    <t>PURE DE PAPAS</t>
  </si>
  <si>
    <t>ARROZ PARRILLERO</t>
  </si>
  <si>
    <t>FAROFA</t>
  </si>
  <si>
    <t>PAPA PAR MANTEIG</t>
  </si>
  <si>
    <t>POLENTA</t>
  </si>
  <si>
    <t>POLENTA CON QUESO</t>
  </si>
  <si>
    <t>POLENTA PROVENZA</t>
  </si>
  <si>
    <t>PAPATASSO</t>
  </si>
  <si>
    <t>PAPATASSO PROVENZAL</t>
  </si>
  <si>
    <t>INFLADITAS</t>
  </si>
  <si>
    <t>PAPA PAR ROQUEFO</t>
  </si>
  <si>
    <t>1/2 SALMON</t>
  </si>
  <si>
    <t>1/2 BACALHAU</t>
  </si>
  <si>
    <t>SALMON PARRILLERO</t>
  </si>
  <si>
    <t>BACALHAU PARRILLERO</t>
  </si>
  <si>
    <t>SALADA MILANESA</t>
  </si>
  <si>
    <t>SALADA ARGENTINA</t>
  </si>
  <si>
    <t>SALADA DE TOMATE</t>
  </si>
  <si>
    <t>SALADA MISTA</t>
  </si>
  <si>
    <t>SALADA RUCULA</t>
  </si>
  <si>
    <t>SALADA VERDE</t>
  </si>
  <si>
    <t>SALADA 348</t>
  </si>
  <si>
    <t>SALADA JULIANA</t>
  </si>
  <si>
    <t>SALADA BARILOCHE</t>
  </si>
  <si>
    <t>SALADA CAPRESE</t>
  </si>
  <si>
    <t>SALADA COMPLETA</t>
  </si>
  <si>
    <t>SALADA DE QUINOA</t>
  </si>
  <si>
    <t>SALADA PALMITO</t>
  </si>
  <si>
    <t>SALADA RECOLETA</t>
  </si>
  <si>
    <t>CALDA CHOCOLATE</t>
  </si>
  <si>
    <t>SOBREMESAS</t>
  </si>
  <si>
    <t>CHANTILLY</t>
  </si>
  <si>
    <t>COB DOCE LEITE</t>
  </si>
  <si>
    <t>HELADOS 1 BOLA</t>
  </si>
  <si>
    <t>ABACAXI</t>
  </si>
  <si>
    <t>PAPAYA</t>
  </si>
  <si>
    <t>MELANCIA</t>
  </si>
  <si>
    <t>HELADOS 2 BOLAS</t>
  </si>
  <si>
    <t>ALMENDRADO</t>
  </si>
  <si>
    <t>DULCE DE LECHE</t>
  </si>
  <si>
    <t>1/2 PANQ D LEITE</t>
  </si>
  <si>
    <t>COMBINATO</t>
  </si>
  <si>
    <t>CREME DE PAPAYA</t>
  </si>
  <si>
    <t>GATO CHIQUITO</t>
  </si>
  <si>
    <t>PANQUECA BANANA</t>
  </si>
  <si>
    <t>PANQUECA DULCE LECHE</t>
  </si>
  <si>
    <t>PANQUECA DE MACA</t>
  </si>
  <si>
    <t>TRIO DE CREME BRULEE ASSADOR</t>
  </si>
  <si>
    <t>1/2 CEBOLLA PAR</t>
  </si>
  <si>
    <t>1/2 BERENJENA PA</t>
  </si>
  <si>
    <t>CEBOLLA PARRILLE</t>
  </si>
  <si>
    <t>BERENJENA PARRIL</t>
  </si>
  <si>
    <t>BROCOLI</t>
  </si>
  <si>
    <t>ZAPALLITO PARRIL</t>
  </si>
  <si>
    <t>1/2 PALMITO 348</t>
  </si>
  <si>
    <t>PALMITO 348</t>
  </si>
  <si>
    <t>LEGUMES GRELHADOS</t>
  </si>
  <si>
    <t>QUEIJO GRANA PADANO</t>
  </si>
  <si>
    <t>1/2 ACOMPANHAMENTO - 348</t>
  </si>
  <si>
    <t>1/2 ENTRADAS - 348</t>
  </si>
  <si>
    <t>1/2 SALADAS - 348</t>
  </si>
  <si>
    <t>CARNE 1/2 - 348</t>
  </si>
  <si>
    <t>CARNE INTEIRO - 348</t>
  </si>
  <si>
    <t>EMPANADAS - 348</t>
  </si>
  <si>
    <t>ENTRADAS INTEIRA - 348</t>
  </si>
  <si>
    <t>ENTRADAS INTEIRA 2 - 348</t>
  </si>
  <si>
    <t>INTEIRO ACOMPANHAMENTO - 348</t>
  </si>
  <si>
    <t>PESCADOS - 348</t>
  </si>
  <si>
    <t>SALADA INTEIRA - 348</t>
  </si>
  <si>
    <t>SOBREMESAS - 348</t>
  </si>
  <si>
    <t>VEGETALES - 348</t>
  </si>
  <si>
    <t>CAMARONES 348</t>
  </si>
  <si>
    <t>LA COSTILLA</t>
  </si>
  <si>
    <t>COSTELA PORCO BARBECUE</t>
  </si>
  <si>
    <t>Obs</t>
  </si>
  <si>
    <t>1/2 DENVER</t>
  </si>
  <si>
    <t>1/2 ENTRANHA FRAD DIAFRAG</t>
  </si>
  <si>
    <t>Excluir botão</t>
  </si>
  <si>
    <t>1/2 PAN CHIMICHURRI</t>
  </si>
  <si>
    <t>1/2 PAO RAMON QUEIJO</t>
  </si>
  <si>
    <t>PAO RAMON QUEIJO</t>
  </si>
  <si>
    <t>WAGYU 348</t>
  </si>
  <si>
    <t>NOVO Copiar do "2037 - Tomahawk" incluido a rota de impressão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</si>
</sst>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name val="Aptos Narrow"/>
      <family val="2"/>
      <scheme val="minor"/>
    </font>
    <font>
      <sz val="8"/>
      <name val="Aptos Narrow"/>
      <family val="2"/>
      <scheme val="minor"/>
    </font>
    <font>
      <i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/>
    <xf numFmtId="43" fontId="2" fillId="0" borderId="1" xfId="1" applyFont="1" applyBorder="1"/>
    <xf numFmtId="43" fontId="0" fillId="0" borderId="0" xfId="1" applyFont="1"/>
    <xf numFmtId="16" fontId="0" fillId="0" borderId="0" xfId="0" quotePrefix="1" applyNumberFormat="1"/>
    <xf numFmtId="43" fontId="0" fillId="0" borderId="0" xfId="1" applyFont="1" applyFill="1"/>
    <xf numFmtId="164" fontId="0" fillId="0" borderId="0" xfId="1" applyNumberFormat="1" applyFont="1"/>
    <xf numFmtId="164" fontId="0" fillId="0" borderId="0" xfId="1" applyNumberFormat="1" applyFont="1" applyFill="1"/>
    <xf numFmtId="0" fontId="3" fillId="0" borderId="0" xfId="0" applyFont="1"/>
    <xf numFmtId="0" fontId="4" fillId="0" borderId="0" xfId="0" applyFont="1"/>
    <xf numFmtId="164" fontId="4" fillId="0" borderId="0" xfId="1" applyNumberFormat="1" applyFont="1"/>
    <xf numFmtId="164" fontId="4" fillId="0" borderId="0" xfId="1" applyNumberFormat="1" applyFont="1" applyFill="1"/>
    <xf numFmtId="164" fontId="3" fillId="0" borderId="0" xfId="1" applyNumberFormat="1" applyFont="1" applyFill="1"/>
    <xf numFmtId="0" fontId="6" fillId="2" borderId="0" xfId="0" applyFont="1" applyFill="1"/>
    <xf numFmtId="164" fontId="6" fillId="2" borderId="0" xfId="1" applyNumberFormat="1" applyFont="1" applyFill="1"/>
    <xf numFmtId="0" fontId="6" fillId="3" borderId="0" xfId="0" applyFont="1" applyFill="1"/>
    <xf numFmtId="164" fontId="6" fillId="3" borderId="0" xfId="1" applyNumberFormat="1" applyFont="1" applyFill="1"/>
    <xf numFmtId="164" fontId="0" fillId="4" borderId="0" xfId="1" applyNumberFormat="1" applyFont="1" applyFill="1"/>
  </cellXfs>
  <cellStyles count="2">
    <cellStyle name="Normal" xfId="0" builtinId="0"/>
    <cellStyle name="Vírgula" xfId="1" builtinId="3"/>
  </cellStyles>
  <dxfs count="17">
    <dxf>
      <fill>
        <patternFill patternType="none">
          <fgColor indexed="64"/>
          <bgColor indexed="65"/>
        </patternFill>
      </fill>
    </dxf>
    <dxf>
      <numFmt numFmtId="164" formatCode="_-* #,##0_-;\-* #,##0_-;_-* &quot;-&quot;??_-;_-@_-"/>
      <fill>
        <patternFill patternType="none">
          <fgColor indexed="64"/>
          <bgColor indexed="65"/>
        </patternFill>
      </fill>
    </dxf>
    <dxf>
      <numFmt numFmtId="164" formatCode="_-* #,##0_-;\-* #,##0_-;_-* &quot;-&quot;??_-;_-@_-"/>
      <fill>
        <patternFill patternType="none">
          <fgColor indexed="64"/>
          <bgColor indexed="65"/>
        </patternFill>
      </fill>
    </dxf>
    <dxf>
      <numFmt numFmtId="164" formatCode="_-* #,##0_-;\-* #,##0_-;_-* &quot;-&quot;??_-;_-@_-"/>
      <fill>
        <patternFill patternType="none">
          <fgColor indexed="64"/>
          <bgColor indexed="65"/>
        </patternFill>
      </fill>
    </dxf>
    <dxf>
      <numFmt numFmtId="164" formatCode="_-* #,##0_-;\-* #,##0_-;_-* &quot;-&quot;??_-;_-@_-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D1A37C-584C-4662-84AD-AB47C7707873}" name="Cardapio348" displayName="Cardapio348" ref="A5:O186" totalsRowShown="0" dataDxfId="16">
  <autoFilter ref="A5:O186" xr:uid="{32C9715C-9AB4-4CB8-9BD9-E3E2E960A44E}">
    <filterColumn colId="10">
      <filters>
        <filter val="1/2 ENTRADAS - 348"/>
        <filter val="EMPANADAS - 348"/>
        <filter val="ENTRADAS INTEIRA - 348"/>
        <filter val="ENTRADAS INTEIRA 2 - 348"/>
      </filters>
    </filterColumn>
    <filterColumn colId="12">
      <colorFilter dxfId="0"/>
    </filterColumn>
  </autoFilter>
  <tableColumns count="15">
    <tableColumn id="1" xr3:uid="{258F6909-4DFA-47C9-AD49-31CDF7CCA6CC}" name="Item" dataDxfId="15"/>
    <tableColumn id="2" xr3:uid="{33802254-04BE-43D3-B8F4-17A61022428F}" name="Descrição do Item" dataDxfId="14"/>
    <tableColumn id="3" xr3:uid="{F6B3E46A-5661-4E9A-892C-CE6CAE398D32}" name="UM" dataDxfId="13"/>
    <tableColumn id="4" xr3:uid="{7D19B2C2-A567-4077-9B79-1EA1CFDAC690}" name="NCM" dataDxfId="12"/>
    <tableColumn id="5" xr3:uid="{BE5CDE6F-391B-432A-AF42-8F4A3D7F0D5A}" name="Família" dataDxfId="11"/>
    <tableColumn id="6" xr3:uid="{259910B3-A6B5-484F-ADC1-5CEDBCD394FD}" name="Grande Grupo" dataDxfId="10"/>
    <tableColumn id="7" xr3:uid="{AA9334CD-4D24-470A-B687-746DDDB9667A}" name="Grupo" dataDxfId="9"/>
    <tableColumn id="8" xr3:uid="{C6FE0845-8A65-4BF1-912B-76CE8929B82D}" name="Subgrupo [*]" dataDxfId="8"/>
    <tableColumn id="9" xr3:uid="{AFF63A0A-DC00-474D-A41A-181DE9B41557}" name="Situação" dataDxfId="7"/>
    <tableColumn id="12" xr3:uid="{5FAD91A7-77F6-4037-A3C1-B1C35B19FE88}" name="PAINEL" dataDxfId="6"/>
    <tableColumn id="14" xr3:uid="{C17FEEE1-B58E-4BA4-9230-42A499B20E32}" name="Nome painel" dataDxfId="5"/>
    <tableColumn id="13" xr3:uid="{E93DB072-755D-4B31-9974-8FF6BBA40C55}" name="Preço venda" dataDxfId="4" dataCellStyle="Vírgula"/>
    <tableColumn id="10" xr3:uid="{02D786F6-6C0A-4D57-A6DA-1EC67DDF63B9}" name="Preço atualizado" dataDxfId="3" dataCellStyle="Vírgula"/>
    <tableColumn id="11" xr3:uid="{E6E23A03-BBFA-4AED-8E0D-15F0C3BF9421}" name="DIF" dataDxfId="2" dataCellStyle="Vírgula">
      <calculatedColumnFormula>Cardapio348[[#This Row],[Preço atualizado]]-Cardapio348[[#This Row],[Preço venda]]</calculatedColumnFormula>
    </tableColumn>
    <tableColumn id="16" xr3:uid="{761F8E0C-95E0-4573-8503-C273CEEA8A68}" name="Obs" dataDxfId="1" dataCellStyle="Vírgul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58935-98F8-492B-94B5-AF468FC32A29}">
  <sheetPr>
    <pageSetUpPr fitToPage="1"/>
  </sheetPr>
  <dimension ref="A1:O186"/>
  <sheetViews>
    <sheetView tabSelected="1" zoomScale="145" zoomScaleNormal="145" workbookViewId="0">
      <selection activeCell="M85" sqref="M85:M93"/>
    </sheetView>
  </sheetViews>
  <sheetFormatPr defaultRowHeight="13.8" x14ac:dyDescent="0.3"/>
  <cols>
    <col min="1" max="1" width="7" bestFit="1" customWidth="1"/>
    <col min="2" max="2" width="45" bestFit="1" customWidth="1"/>
    <col min="3" max="3" width="4.88671875" hidden="1" customWidth="1"/>
    <col min="4" max="4" width="9" hidden="1" customWidth="1"/>
    <col min="5" max="5" width="6.44140625" hidden="1" customWidth="1"/>
    <col min="6" max="6" width="12" hidden="1" customWidth="1"/>
    <col min="7" max="7" width="17.33203125" hidden="1" customWidth="1"/>
    <col min="8" max="8" width="10.88671875" hidden="1" customWidth="1"/>
    <col min="9" max="9" width="7.5546875" hidden="1" customWidth="1"/>
    <col min="10" max="10" width="6.5546875" bestFit="1" customWidth="1"/>
    <col min="11" max="11" width="27.6640625" bestFit="1" customWidth="1"/>
    <col min="12" max="12" width="14" bestFit="1" customWidth="1"/>
    <col min="13" max="13" width="13.88671875" bestFit="1" customWidth="1"/>
    <col min="14" max="14" width="7.5546875" style="3" bestFit="1" customWidth="1"/>
    <col min="15" max="15" width="35.66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</row>
    <row r="2" spans="1:15" x14ac:dyDescent="0.3">
      <c r="B2" t="str">
        <f>"*"&amp;B3&amp;"*"</f>
        <v>**</v>
      </c>
    </row>
    <row r="3" spans="1:15" x14ac:dyDescent="0.3">
      <c r="A3" t="s">
        <v>14</v>
      </c>
      <c r="B3" s="4"/>
    </row>
    <row r="5" spans="1:15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s="5" t="s">
        <v>11</v>
      </c>
      <c r="M5" t="s">
        <v>12</v>
      </c>
      <c r="N5" s="5" t="s">
        <v>13</v>
      </c>
      <c r="O5" t="s">
        <v>218</v>
      </c>
    </row>
    <row r="6" spans="1:15" hidden="1" x14ac:dyDescent="0.3">
      <c r="A6">
        <v>1021</v>
      </c>
      <c r="B6" t="s">
        <v>15</v>
      </c>
      <c r="C6" t="s">
        <v>16</v>
      </c>
      <c r="D6">
        <v>21069090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>
        <v>902</v>
      </c>
      <c r="K6" t="s">
        <v>202</v>
      </c>
      <c r="L6" s="7">
        <v>45</v>
      </c>
      <c r="M6" s="6">
        <v>48</v>
      </c>
      <c r="N6" s="7">
        <f>Cardapio348[[#This Row],[Preço atualizado]]-Cardapio348[[#This Row],[Preço venda]]</f>
        <v>3</v>
      </c>
      <c r="O6" s="7">
        <v>0</v>
      </c>
    </row>
    <row r="7" spans="1:15" hidden="1" x14ac:dyDescent="0.3">
      <c r="A7">
        <v>1023</v>
      </c>
      <c r="B7" t="s">
        <v>22</v>
      </c>
      <c r="C7" t="s">
        <v>16</v>
      </c>
      <c r="D7">
        <v>21069090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>
        <v>902</v>
      </c>
      <c r="K7" t="s">
        <v>202</v>
      </c>
      <c r="L7" s="7">
        <v>48</v>
      </c>
      <c r="M7" s="6">
        <v>49</v>
      </c>
      <c r="N7" s="7">
        <f>Cardapio348[[#This Row],[Preço atualizado]]-Cardapio348[[#This Row],[Preço venda]]</f>
        <v>1</v>
      </c>
      <c r="O7" s="7">
        <v>0</v>
      </c>
    </row>
    <row r="8" spans="1:15" hidden="1" x14ac:dyDescent="0.3">
      <c r="A8">
        <v>1024</v>
      </c>
      <c r="B8" t="s">
        <v>23</v>
      </c>
      <c r="C8" t="s">
        <v>16</v>
      </c>
      <c r="D8">
        <v>21069090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>
        <v>902</v>
      </c>
      <c r="K8" t="s">
        <v>202</v>
      </c>
      <c r="L8" s="7">
        <v>48</v>
      </c>
      <c r="M8" s="6">
        <v>49</v>
      </c>
      <c r="N8" s="7">
        <f>Cardapio348[[#This Row],[Preço atualizado]]-Cardapio348[[#This Row],[Preço venda]]</f>
        <v>1</v>
      </c>
      <c r="O8" s="7">
        <v>0</v>
      </c>
    </row>
    <row r="9" spans="1:15" hidden="1" x14ac:dyDescent="0.3">
      <c r="A9">
        <v>1025</v>
      </c>
      <c r="B9" t="s">
        <v>24</v>
      </c>
      <c r="C9" t="s">
        <v>16</v>
      </c>
      <c r="D9">
        <v>21069090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>
        <v>902</v>
      </c>
      <c r="K9" t="s">
        <v>202</v>
      </c>
      <c r="L9" s="7">
        <v>48</v>
      </c>
      <c r="M9" s="6">
        <v>49</v>
      </c>
      <c r="N9" s="7">
        <f>Cardapio348[[#This Row],[Preço atualizado]]-Cardapio348[[#This Row],[Preço venda]]</f>
        <v>1</v>
      </c>
      <c r="O9" s="7">
        <v>0</v>
      </c>
    </row>
    <row r="10" spans="1:15" hidden="1" x14ac:dyDescent="0.3">
      <c r="A10">
        <v>1022</v>
      </c>
      <c r="B10" t="s">
        <v>25</v>
      </c>
      <c r="C10" t="s">
        <v>16</v>
      </c>
      <c r="D10">
        <v>21069090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>
        <v>902</v>
      </c>
      <c r="K10" t="s">
        <v>202</v>
      </c>
      <c r="L10" s="7">
        <v>50</v>
      </c>
      <c r="M10" s="6">
        <v>48</v>
      </c>
      <c r="N10" s="7">
        <f>Cardapio348[[#This Row],[Preço atualizado]]-Cardapio348[[#This Row],[Preço venda]]</f>
        <v>-2</v>
      </c>
      <c r="O10" s="7">
        <v>0</v>
      </c>
    </row>
    <row r="11" spans="1:15" x14ac:dyDescent="0.3">
      <c r="A11">
        <v>4501</v>
      </c>
      <c r="B11" t="s">
        <v>26</v>
      </c>
      <c r="C11" t="s">
        <v>16</v>
      </c>
      <c r="D11">
        <v>21069090</v>
      </c>
      <c r="E11" t="s">
        <v>17</v>
      </c>
      <c r="F11" t="s">
        <v>18</v>
      </c>
      <c r="G11" t="s">
        <v>27</v>
      </c>
      <c r="H11" t="s">
        <v>20</v>
      </c>
      <c r="I11" t="s">
        <v>21</v>
      </c>
      <c r="J11">
        <v>601</v>
      </c>
      <c r="K11" t="s">
        <v>203</v>
      </c>
      <c r="L11" s="7">
        <v>12</v>
      </c>
      <c r="M11" s="6">
        <v>12</v>
      </c>
      <c r="N11" s="7">
        <f>Cardapio348[[#This Row],[Preço atualizado]]-Cardapio348[[#This Row],[Preço venda]]</f>
        <v>0</v>
      </c>
      <c r="O11" s="7">
        <v>0</v>
      </c>
    </row>
    <row r="12" spans="1:15" x14ac:dyDescent="0.3">
      <c r="A12">
        <v>4503</v>
      </c>
      <c r="B12" t="s">
        <v>28</v>
      </c>
      <c r="C12" t="s">
        <v>16</v>
      </c>
      <c r="D12">
        <v>21069090</v>
      </c>
      <c r="E12" t="s">
        <v>17</v>
      </c>
      <c r="F12" t="s">
        <v>18</v>
      </c>
      <c r="G12" t="s">
        <v>27</v>
      </c>
      <c r="H12" t="s">
        <v>20</v>
      </c>
      <c r="I12" t="s">
        <v>21</v>
      </c>
      <c r="J12">
        <v>601</v>
      </c>
      <c r="K12" t="s">
        <v>203</v>
      </c>
      <c r="L12" s="7">
        <v>28</v>
      </c>
      <c r="M12" s="6">
        <v>28</v>
      </c>
      <c r="N12" s="7">
        <f>Cardapio348[[#This Row],[Preço atualizado]]-Cardapio348[[#This Row],[Preço venda]]</f>
        <v>0</v>
      </c>
      <c r="O12" s="7">
        <v>0</v>
      </c>
    </row>
    <row r="13" spans="1:15" x14ac:dyDescent="0.3">
      <c r="A13">
        <v>4506</v>
      </c>
      <c r="B13" t="s">
        <v>29</v>
      </c>
      <c r="C13" t="s">
        <v>16</v>
      </c>
      <c r="D13">
        <v>21069090</v>
      </c>
      <c r="E13" t="s">
        <v>17</v>
      </c>
      <c r="F13" t="s">
        <v>18</v>
      </c>
      <c r="G13" t="s">
        <v>27</v>
      </c>
      <c r="H13" t="s">
        <v>20</v>
      </c>
      <c r="I13" t="s">
        <v>21</v>
      </c>
      <c r="J13">
        <v>601</v>
      </c>
      <c r="K13" t="s">
        <v>203</v>
      </c>
      <c r="L13" s="7">
        <v>71</v>
      </c>
      <c r="M13" s="6">
        <v>71</v>
      </c>
      <c r="N13" s="7">
        <f>Cardapio348[[#This Row],[Preço atualizado]]-Cardapio348[[#This Row],[Preço venda]]</f>
        <v>0</v>
      </c>
      <c r="O13" s="7">
        <v>0</v>
      </c>
    </row>
    <row r="14" spans="1:15" x14ac:dyDescent="0.3">
      <c r="A14">
        <v>4507</v>
      </c>
      <c r="B14" t="s">
        <v>30</v>
      </c>
      <c r="C14" t="s">
        <v>16</v>
      </c>
      <c r="D14">
        <v>21069090</v>
      </c>
      <c r="E14" t="s">
        <v>17</v>
      </c>
      <c r="F14" t="s">
        <v>18</v>
      </c>
      <c r="G14" t="s">
        <v>27</v>
      </c>
      <c r="H14" t="s">
        <v>20</v>
      </c>
      <c r="I14" t="s">
        <v>21</v>
      </c>
      <c r="J14">
        <v>601</v>
      </c>
      <c r="K14" t="s">
        <v>203</v>
      </c>
      <c r="L14" s="7">
        <v>71</v>
      </c>
      <c r="M14" s="6">
        <v>71</v>
      </c>
      <c r="N14" s="7">
        <f>Cardapio348[[#This Row],[Preço atualizado]]-Cardapio348[[#This Row],[Preço venda]]</f>
        <v>0</v>
      </c>
      <c r="O14" s="7">
        <v>0</v>
      </c>
    </row>
    <row r="15" spans="1:15" x14ac:dyDescent="0.3">
      <c r="A15">
        <v>4518</v>
      </c>
      <c r="B15" t="s">
        <v>31</v>
      </c>
      <c r="C15" t="s">
        <v>16</v>
      </c>
      <c r="D15">
        <v>21069090</v>
      </c>
      <c r="E15" t="s">
        <v>17</v>
      </c>
      <c r="F15" t="s">
        <v>18</v>
      </c>
      <c r="G15" t="s">
        <v>27</v>
      </c>
      <c r="H15" t="s">
        <v>20</v>
      </c>
      <c r="I15" t="s">
        <v>21</v>
      </c>
      <c r="J15">
        <v>601</v>
      </c>
      <c r="K15" t="s">
        <v>203</v>
      </c>
      <c r="L15" s="7">
        <v>71</v>
      </c>
      <c r="M15" s="6">
        <v>71</v>
      </c>
      <c r="N15" s="7">
        <f>Cardapio348[[#This Row],[Preço atualizado]]-Cardapio348[[#This Row],[Preço venda]]</f>
        <v>0</v>
      </c>
      <c r="O15" s="7">
        <v>0</v>
      </c>
    </row>
    <row r="16" spans="1:15" x14ac:dyDescent="0.3">
      <c r="A16">
        <v>4509</v>
      </c>
      <c r="B16" t="s">
        <v>32</v>
      </c>
      <c r="C16" t="s">
        <v>16</v>
      </c>
      <c r="D16">
        <v>21069090</v>
      </c>
      <c r="E16" t="s">
        <v>17</v>
      </c>
      <c r="F16" t="s">
        <v>18</v>
      </c>
      <c r="G16" t="s">
        <v>27</v>
      </c>
      <c r="H16" t="s">
        <v>20</v>
      </c>
      <c r="I16" t="s">
        <v>21</v>
      </c>
      <c r="J16">
        <v>601</v>
      </c>
      <c r="K16" t="s">
        <v>203</v>
      </c>
      <c r="L16" s="7">
        <v>77</v>
      </c>
      <c r="M16" s="6">
        <v>77</v>
      </c>
      <c r="N16" s="7">
        <f>Cardapio348[[#This Row],[Preço atualizado]]-Cardapio348[[#This Row],[Preço venda]]</f>
        <v>0</v>
      </c>
      <c r="O16" s="7">
        <v>0</v>
      </c>
    </row>
    <row r="17" spans="1:15" x14ac:dyDescent="0.3">
      <c r="A17">
        <v>4510</v>
      </c>
      <c r="B17" t="s">
        <v>33</v>
      </c>
      <c r="C17" t="s">
        <v>16</v>
      </c>
      <c r="D17">
        <v>21069090</v>
      </c>
      <c r="E17" t="s">
        <v>17</v>
      </c>
      <c r="F17" t="s">
        <v>18</v>
      </c>
      <c r="G17" t="s">
        <v>27</v>
      </c>
      <c r="H17" t="s">
        <v>20</v>
      </c>
      <c r="I17" t="s">
        <v>21</v>
      </c>
      <c r="J17">
        <v>601</v>
      </c>
      <c r="K17" t="s">
        <v>203</v>
      </c>
      <c r="L17" s="7">
        <v>79</v>
      </c>
      <c r="M17" s="6">
        <v>79</v>
      </c>
      <c r="N17" s="7">
        <f>Cardapio348[[#This Row],[Preço atualizado]]-Cardapio348[[#This Row],[Preço venda]]</f>
        <v>0</v>
      </c>
      <c r="O17" s="7">
        <v>0</v>
      </c>
    </row>
    <row r="18" spans="1:15" x14ac:dyDescent="0.3">
      <c r="A18">
        <v>4504</v>
      </c>
      <c r="B18" t="s">
        <v>34</v>
      </c>
      <c r="C18" t="s">
        <v>16</v>
      </c>
      <c r="D18">
        <v>21069090</v>
      </c>
      <c r="E18" t="s">
        <v>17</v>
      </c>
      <c r="F18" t="s">
        <v>18</v>
      </c>
      <c r="G18" t="s">
        <v>27</v>
      </c>
      <c r="H18" t="s">
        <v>20</v>
      </c>
      <c r="I18" t="s">
        <v>21</v>
      </c>
      <c r="J18">
        <v>601</v>
      </c>
      <c r="K18" t="s">
        <v>203</v>
      </c>
      <c r="L18" s="7">
        <v>88</v>
      </c>
      <c r="M18" s="6">
        <v>92</v>
      </c>
      <c r="N18" s="7">
        <f>Cardapio348[[#This Row],[Preço atualizado]]-Cardapio348[[#This Row],[Preço venda]]</f>
        <v>4</v>
      </c>
      <c r="O18" s="7">
        <v>0</v>
      </c>
    </row>
    <row r="19" spans="1:15" x14ac:dyDescent="0.3">
      <c r="A19">
        <v>4511</v>
      </c>
      <c r="B19" t="s">
        <v>35</v>
      </c>
      <c r="C19" t="s">
        <v>16</v>
      </c>
      <c r="D19">
        <v>21069090</v>
      </c>
      <c r="E19" t="s">
        <v>17</v>
      </c>
      <c r="F19" t="s">
        <v>18</v>
      </c>
      <c r="G19" t="s">
        <v>27</v>
      </c>
      <c r="H19" t="s">
        <v>20</v>
      </c>
      <c r="I19" t="s">
        <v>21</v>
      </c>
      <c r="J19">
        <v>601</v>
      </c>
      <c r="K19" t="s">
        <v>203</v>
      </c>
      <c r="L19" s="7">
        <v>99</v>
      </c>
      <c r="M19" s="6">
        <v>99</v>
      </c>
      <c r="N19" s="7">
        <f>Cardapio348[[#This Row],[Preço atualizado]]-Cardapio348[[#This Row],[Preço venda]]</f>
        <v>0</v>
      </c>
      <c r="O19" s="7">
        <v>0</v>
      </c>
    </row>
    <row r="20" spans="1:15" x14ac:dyDescent="0.3">
      <c r="A20">
        <v>4512</v>
      </c>
      <c r="B20" t="s">
        <v>36</v>
      </c>
      <c r="C20" t="s">
        <v>16</v>
      </c>
      <c r="D20">
        <v>21069090</v>
      </c>
      <c r="E20" t="s">
        <v>17</v>
      </c>
      <c r="F20" t="s">
        <v>18</v>
      </c>
      <c r="G20" t="s">
        <v>27</v>
      </c>
      <c r="H20" t="s">
        <v>20</v>
      </c>
      <c r="I20" t="s">
        <v>21</v>
      </c>
      <c r="J20">
        <v>601</v>
      </c>
      <c r="K20" t="s">
        <v>203</v>
      </c>
      <c r="L20" s="7">
        <v>99</v>
      </c>
      <c r="M20" s="6">
        <v>99</v>
      </c>
      <c r="N20" s="7">
        <f>Cardapio348[[#This Row],[Preço atualizado]]-Cardapio348[[#This Row],[Preço venda]]</f>
        <v>0</v>
      </c>
      <c r="O20" s="7">
        <v>0</v>
      </c>
    </row>
    <row r="21" spans="1:15" x14ac:dyDescent="0.3">
      <c r="A21">
        <v>4513</v>
      </c>
      <c r="B21" t="s">
        <v>37</v>
      </c>
      <c r="C21" t="s">
        <v>16</v>
      </c>
      <c r="D21">
        <v>21069090</v>
      </c>
      <c r="E21" t="s">
        <v>17</v>
      </c>
      <c r="F21" t="s">
        <v>18</v>
      </c>
      <c r="G21" t="s">
        <v>27</v>
      </c>
      <c r="H21" t="s">
        <v>20</v>
      </c>
      <c r="I21" t="s">
        <v>21</v>
      </c>
      <c r="J21">
        <v>601</v>
      </c>
      <c r="K21" t="s">
        <v>203</v>
      </c>
      <c r="L21" s="7">
        <v>118</v>
      </c>
      <c r="M21" s="6">
        <v>118</v>
      </c>
      <c r="N21" s="7">
        <f>Cardapio348[[#This Row],[Preço atualizado]]-Cardapio348[[#This Row],[Preço venda]]</f>
        <v>0</v>
      </c>
      <c r="O21" s="7">
        <v>0</v>
      </c>
    </row>
    <row r="22" spans="1:15" hidden="1" x14ac:dyDescent="0.3">
      <c r="A22">
        <v>7506</v>
      </c>
      <c r="B22" t="s">
        <v>38</v>
      </c>
      <c r="C22" t="s">
        <v>16</v>
      </c>
      <c r="D22">
        <v>21069090</v>
      </c>
      <c r="E22" t="s">
        <v>17</v>
      </c>
      <c r="F22" t="s">
        <v>18</v>
      </c>
      <c r="G22" t="s">
        <v>39</v>
      </c>
      <c r="H22" t="s">
        <v>20</v>
      </c>
      <c r="I22" t="s">
        <v>21</v>
      </c>
      <c r="J22">
        <v>801</v>
      </c>
      <c r="K22" t="s">
        <v>204</v>
      </c>
      <c r="L22" s="7">
        <v>57</v>
      </c>
      <c r="M22" s="6">
        <v>57</v>
      </c>
      <c r="N22" s="7">
        <f>Cardapio348[[#This Row],[Preço atualizado]]-Cardapio348[[#This Row],[Preço venda]]</f>
        <v>0</v>
      </c>
      <c r="O22" s="7">
        <v>0</v>
      </c>
    </row>
    <row r="23" spans="1:15" hidden="1" x14ac:dyDescent="0.3">
      <c r="A23">
        <v>7508</v>
      </c>
      <c r="B23" t="s">
        <v>40</v>
      </c>
      <c r="C23" t="s">
        <v>16</v>
      </c>
      <c r="D23">
        <v>21069090</v>
      </c>
      <c r="E23" t="s">
        <v>17</v>
      </c>
      <c r="F23" t="s">
        <v>18</v>
      </c>
      <c r="G23" t="s">
        <v>39</v>
      </c>
      <c r="H23" t="s">
        <v>20</v>
      </c>
      <c r="I23" t="s">
        <v>21</v>
      </c>
      <c r="J23">
        <v>801</v>
      </c>
      <c r="K23" t="s">
        <v>204</v>
      </c>
      <c r="L23" s="7">
        <v>57</v>
      </c>
      <c r="M23" s="6">
        <v>57</v>
      </c>
      <c r="N23" s="7">
        <f>Cardapio348[[#This Row],[Preço atualizado]]-Cardapio348[[#This Row],[Preço venda]]</f>
        <v>0</v>
      </c>
      <c r="O23" s="7">
        <v>0</v>
      </c>
    </row>
    <row r="24" spans="1:15" hidden="1" x14ac:dyDescent="0.3">
      <c r="A24">
        <v>7511</v>
      </c>
      <c r="B24" t="s">
        <v>41</v>
      </c>
      <c r="C24" t="s">
        <v>16</v>
      </c>
      <c r="D24">
        <v>21069090</v>
      </c>
      <c r="E24" t="s">
        <v>17</v>
      </c>
      <c r="F24" t="s">
        <v>18</v>
      </c>
      <c r="G24" t="s">
        <v>39</v>
      </c>
      <c r="H24" t="s">
        <v>20</v>
      </c>
      <c r="I24" t="s">
        <v>21</v>
      </c>
      <c r="J24">
        <v>801</v>
      </c>
      <c r="K24" t="s">
        <v>204</v>
      </c>
      <c r="L24" s="7">
        <v>57</v>
      </c>
      <c r="M24" s="6">
        <v>57</v>
      </c>
      <c r="N24" s="7">
        <f>Cardapio348[[#This Row],[Preço atualizado]]-Cardapio348[[#This Row],[Preço venda]]</f>
        <v>0</v>
      </c>
      <c r="O24" s="7">
        <v>0</v>
      </c>
    </row>
    <row r="25" spans="1:15" hidden="1" x14ac:dyDescent="0.3">
      <c r="A25">
        <v>7512</v>
      </c>
      <c r="B25" t="s">
        <v>42</v>
      </c>
      <c r="C25" t="s">
        <v>16</v>
      </c>
      <c r="D25">
        <v>21069090</v>
      </c>
      <c r="E25" t="s">
        <v>17</v>
      </c>
      <c r="F25" t="s">
        <v>18</v>
      </c>
      <c r="G25" t="s">
        <v>39</v>
      </c>
      <c r="H25" t="s">
        <v>20</v>
      </c>
      <c r="I25" t="s">
        <v>21</v>
      </c>
      <c r="J25">
        <v>801</v>
      </c>
      <c r="K25" t="s">
        <v>204</v>
      </c>
      <c r="L25" s="7">
        <v>57</v>
      </c>
      <c r="M25" s="6">
        <v>57</v>
      </c>
      <c r="N25" s="7">
        <f>Cardapio348[[#This Row],[Preço atualizado]]-Cardapio348[[#This Row],[Preço venda]]</f>
        <v>0</v>
      </c>
      <c r="O25" s="7">
        <v>0</v>
      </c>
    </row>
    <row r="26" spans="1:15" hidden="1" x14ac:dyDescent="0.3">
      <c r="A26">
        <v>7502</v>
      </c>
      <c r="B26" t="s">
        <v>43</v>
      </c>
      <c r="C26" t="s">
        <v>16</v>
      </c>
      <c r="D26">
        <v>21069090</v>
      </c>
      <c r="E26" t="s">
        <v>17</v>
      </c>
      <c r="F26" t="s">
        <v>18</v>
      </c>
      <c r="G26" t="s">
        <v>39</v>
      </c>
      <c r="H26" t="s">
        <v>20</v>
      </c>
      <c r="I26" t="s">
        <v>21</v>
      </c>
      <c r="J26">
        <v>801</v>
      </c>
      <c r="K26" t="s">
        <v>204</v>
      </c>
      <c r="L26" s="7">
        <v>58</v>
      </c>
      <c r="M26" s="6">
        <v>58</v>
      </c>
      <c r="N26" s="7">
        <f>Cardapio348[[#This Row],[Preço atualizado]]-Cardapio348[[#This Row],[Preço venda]]</f>
        <v>0</v>
      </c>
      <c r="O26" s="7">
        <v>0</v>
      </c>
    </row>
    <row r="27" spans="1:15" hidden="1" x14ac:dyDescent="0.3">
      <c r="A27">
        <v>7501</v>
      </c>
      <c r="B27" t="s">
        <v>44</v>
      </c>
      <c r="C27" t="s">
        <v>16</v>
      </c>
      <c r="D27">
        <v>21069090</v>
      </c>
      <c r="E27" t="s">
        <v>17</v>
      </c>
      <c r="F27" t="s">
        <v>18</v>
      </c>
      <c r="G27" t="s">
        <v>39</v>
      </c>
      <c r="H27" t="s">
        <v>20</v>
      </c>
      <c r="I27" t="s">
        <v>21</v>
      </c>
      <c r="J27">
        <v>801</v>
      </c>
      <c r="K27" t="s">
        <v>204</v>
      </c>
      <c r="L27" s="7">
        <v>62</v>
      </c>
      <c r="M27" s="6">
        <v>62</v>
      </c>
      <c r="N27" s="7">
        <f>Cardapio348[[#This Row],[Preço atualizado]]-Cardapio348[[#This Row],[Preço venda]]</f>
        <v>0</v>
      </c>
      <c r="O27" s="7">
        <v>0</v>
      </c>
    </row>
    <row r="28" spans="1:15" hidden="1" x14ac:dyDescent="0.3">
      <c r="A28">
        <v>7505</v>
      </c>
      <c r="B28" t="s">
        <v>45</v>
      </c>
      <c r="C28" t="s">
        <v>16</v>
      </c>
      <c r="D28">
        <v>21069090</v>
      </c>
      <c r="E28" t="s">
        <v>17</v>
      </c>
      <c r="F28" t="s">
        <v>18</v>
      </c>
      <c r="G28" t="s">
        <v>39</v>
      </c>
      <c r="H28" t="s">
        <v>20</v>
      </c>
      <c r="I28" t="s">
        <v>21</v>
      </c>
      <c r="J28">
        <v>801</v>
      </c>
      <c r="K28" t="s">
        <v>204</v>
      </c>
      <c r="L28" s="7">
        <v>73</v>
      </c>
      <c r="M28" s="6">
        <v>73</v>
      </c>
      <c r="N28" s="7">
        <f>Cardapio348[[#This Row],[Preço atualizado]]-Cardapio348[[#This Row],[Preço venda]]</f>
        <v>0</v>
      </c>
      <c r="O28" s="7">
        <v>0</v>
      </c>
    </row>
    <row r="29" spans="1:15" hidden="1" x14ac:dyDescent="0.3">
      <c r="A29">
        <v>7507</v>
      </c>
      <c r="B29" t="s">
        <v>46</v>
      </c>
      <c r="C29" t="s">
        <v>16</v>
      </c>
      <c r="D29">
        <v>21069090</v>
      </c>
      <c r="E29" t="s">
        <v>17</v>
      </c>
      <c r="F29" t="s">
        <v>18</v>
      </c>
      <c r="G29" t="s">
        <v>39</v>
      </c>
      <c r="H29" t="s">
        <v>20</v>
      </c>
      <c r="I29" t="s">
        <v>21</v>
      </c>
      <c r="J29">
        <v>801</v>
      </c>
      <c r="K29" t="s">
        <v>204</v>
      </c>
      <c r="L29" s="7">
        <v>72</v>
      </c>
      <c r="M29" s="6">
        <v>72</v>
      </c>
      <c r="N29" s="7">
        <f>Cardapio348[[#This Row],[Preço atualizado]]-Cardapio348[[#This Row],[Preço venda]]</f>
        <v>0</v>
      </c>
      <c r="O29" s="7">
        <v>0</v>
      </c>
    </row>
    <row r="30" spans="1:15" hidden="1" x14ac:dyDescent="0.3">
      <c r="A30">
        <v>7510</v>
      </c>
      <c r="B30" t="s">
        <v>47</v>
      </c>
      <c r="C30" t="s">
        <v>16</v>
      </c>
      <c r="D30">
        <v>21069090</v>
      </c>
      <c r="E30" t="s">
        <v>17</v>
      </c>
      <c r="F30" t="s">
        <v>18</v>
      </c>
      <c r="G30" t="s">
        <v>39</v>
      </c>
      <c r="H30" t="s">
        <v>20</v>
      </c>
      <c r="I30" t="s">
        <v>21</v>
      </c>
      <c r="J30">
        <v>801</v>
      </c>
      <c r="K30" t="s">
        <v>204</v>
      </c>
      <c r="L30" s="7">
        <v>74</v>
      </c>
      <c r="M30" s="6">
        <v>74</v>
      </c>
      <c r="N30" s="7">
        <f>Cardapio348[[#This Row],[Preço atualizado]]-Cardapio348[[#This Row],[Preço venda]]</f>
        <v>0</v>
      </c>
      <c r="O30" s="7">
        <v>0</v>
      </c>
    </row>
    <row r="31" spans="1:15" hidden="1" x14ac:dyDescent="0.3">
      <c r="A31">
        <v>7514</v>
      </c>
      <c r="B31" t="s">
        <v>48</v>
      </c>
      <c r="C31" t="s">
        <v>16</v>
      </c>
      <c r="D31">
        <v>21069090</v>
      </c>
      <c r="E31" t="s">
        <v>17</v>
      </c>
      <c r="F31" t="s">
        <v>18</v>
      </c>
      <c r="G31" t="s">
        <v>39</v>
      </c>
      <c r="H31" t="s">
        <v>20</v>
      </c>
      <c r="I31" t="s">
        <v>21</v>
      </c>
      <c r="J31">
        <v>801</v>
      </c>
      <c r="K31" t="s">
        <v>204</v>
      </c>
      <c r="L31" s="7">
        <v>72</v>
      </c>
      <c r="M31" s="6">
        <v>72</v>
      </c>
      <c r="N31" s="7">
        <f>Cardapio348[[#This Row],[Preço atualizado]]-Cardapio348[[#This Row],[Preço venda]]</f>
        <v>0</v>
      </c>
      <c r="O31" s="7">
        <v>0</v>
      </c>
    </row>
    <row r="32" spans="1:15" hidden="1" x14ac:dyDescent="0.3">
      <c r="A32">
        <v>7515</v>
      </c>
      <c r="B32" t="s">
        <v>49</v>
      </c>
      <c r="C32" t="s">
        <v>16</v>
      </c>
      <c r="D32">
        <v>21069090</v>
      </c>
      <c r="E32" t="s">
        <v>17</v>
      </c>
      <c r="F32" t="s">
        <v>18</v>
      </c>
      <c r="G32" t="s">
        <v>39</v>
      </c>
      <c r="H32" t="s">
        <v>20</v>
      </c>
      <c r="I32" t="s">
        <v>21</v>
      </c>
      <c r="J32">
        <v>801</v>
      </c>
      <c r="K32" t="s">
        <v>204</v>
      </c>
      <c r="L32" s="7">
        <v>73</v>
      </c>
      <c r="M32" s="6">
        <v>73</v>
      </c>
      <c r="N32" s="7">
        <f>Cardapio348[[#This Row],[Preço atualizado]]-Cardapio348[[#This Row],[Preço venda]]</f>
        <v>0</v>
      </c>
      <c r="O32" s="7">
        <v>0</v>
      </c>
    </row>
    <row r="33" spans="1:15" hidden="1" x14ac:dyDescent="0.3">
      <c r="A33">
        <v>7504</v>
      </c>
      <c r="B33" t="s">
        <v>50</v>
      </c>
      <c r="C33" t="s">
        <v>16</v>
      </c>
      <c r="D33">
        <v>21069090</v>
      </c>
      <c r="E33" t="s">
        <v>17</v>
      </c>
      <c r="F33" t="s">
        <v>18</v>
      </c>
      <c r="G33" t="s">
        <v>39</v>
      </c>
      <c r="H33" t="s">
        <v>20</v>
      </c>
      <c r="I33" t="s">
        <v>21</v>
      </c>
      <c r="J33">
        <v>801</v>
      </c>
      <c r="K33" t="s">
        <v>204</v>
      </c>
      <c r="L33" s="7">
        <v>76</v>
      </c>
      <c r="M33" s="6">
        <v>76</v>
      </c>
      <c r="N33" s="7">
        <f>Cardapio348[[#This Row],[Preço atualizado]]-Cardapio348[[#This Row],[Preço venda]]</f>
        <v>0</v>
      </c>
      <c r="O33" s="7">
        <v>0</v>
      </c>
    </row>
    <row r="34" spans="1:15" hidden="1" x14ac:dyDescent="0.3">
      <c r="A34">
        <v>2507</v>
      </c>
      <c r="B34" t="s">
        <v>52</v>
      </c>
      <c r="C34" t="s">
        <v>16</v>
      </c>
      <c r="D34">
        <v>21069090</v>
      </c>
      <c r="E34" t="s">
        <v>17</v>
      </c>
      <c r="F34" t="s">
        <v>18</v>
      </c>
      <c r="G34" t="s">
        <v>51</v>
      </c>
      <c r="H34" t="s">
        <v>20</v>
      </c>
      <c r="I34" t="s">
        <v>21</v>
      </c>
      <c r="J34">
        <v>5002</v>
      </c>
      <c r="K34" t="s">
        <v>205</v>
      </c>
      <c r="L34" s="7">
        <v>98</v>
      </c>
      <c r="M34" s="6">
        <v>108</v>
      </c>
      <c r="N34" s="7">
        <f>Cardapio348[[#This Row],[Preço atualizado]]-Cardapio348[[#This Row],[Preço venda]]</f>
        <v>10</v>
      </c>
      <c r="O34" s="7">
        <v>0</v>
      </c>
    </row>
    <row r="35" spans="1:15" hidden="1" x14ac:dyDescent="0.3">
      <c r="A35">
        <v>2508</v>
      </c>
      <c r="B35" t="s">
        <v>53</v>
      </c>
      <c r="C35" t="s">
        <v>16</v>
      </c>
      <c r="D35">
        <v>21069090</v>
      </c>
      <c r="E35" t="s">
        <v>17</v>
      </c>
      <c r="F35" t="s">
        <v>18</v>
      </c>
      <c r="G35" t="s">
        <v>51</v>
      </c>
      <c r="H35" t="s">
        <v>20</v>
      </c>
      <c r="I35" t="s">
        <v>21</v>
      </c>
      <c r="J35">
        <v>5002</v>
      </c>
      <c r="K35" t="s">
        <v>205</v>
      </c>
      <c r="L35" s="7">
        <v>99</v>
      </c>
      <c r="M35" s="7">
        <v>106</v>
      </c>
      <c r="N35" s="7">
        <f>Cardapio348[[#This Row],[Preço atualizado]]-Cardapio348[[#This Row],[Preço venda]]</f>
        <v>7</v>
      </c>
      <c r="O35" s="7">
        <v>0</v>
      </c>
    </row>
    <row r="36" spans="1:15" hidden="1" x14ac:dyDescent="0.3">
      <c r="A36">
        <v>2509</v>
      </c>
      <c r="B36" t="s">
        <v>54</v>
      </c>
      <c r="C36" t="s">
        <v>16</v>
      </c>
      <c r="D36">
        <v>21069090</v>
      </c>
      <c r="E36" t="s">
        <v>17</v>
      </c>
      <c r="F36" t="s">
        <v>18</v>
      </c>
      <c r="G36" t="s">
        <v>51</v>
      </c>
      <c r="H36" t="s">
        <v>20</v>
      </c>
      <c r="I36" t="s">
        <v>21</v>
      </c>
      <c r="J36">
        <v>5002</v>
      </c>
      <c r="K36" t="s">
        <v>205</v>
      </c>
      <c r="L36" s="7">
        <v>99</v>
      </c>
      <c r="M36" s="7">
        <v>106</v>
      </c>
      <c r="N36" s="7">
        <f>Cardapio348[[#This Row],[Preço atualizado]]-Cardapio348[[#This Row],[Preço venda]]</f>
        <v>7</v>
      </c>
      <c r="O36" s="7">
        <v>0</v>
      </c>
    </row>
    <row r="37" spans="1:15" hidden="1" x14ac:dyDescent="0.3">
      <c r="A37">
        <v>2510</v>
      </c>
      <c r="B37" t="s">
        <v>55</v>
      </c>
      <c r="C37" t="s">
        <v>16</v>
      </c>
      <c r="D37">
        <v>21069090</v>
      </c>
      <c r="E37" t="s">
        <v>17</v>
      </c>
      <c r="F37" t="s">
        <v>18</v>
      </c>
      <c r="G37" t="s">
        <v>51</v>
      </c>
      <c r="H37" t="s">
        <v>20</v>
      </c>
      <c r="I37" t="s">
        <v>21</v>
      </c>
      <c r="J37">
        <v>5002</v>
      </c>
      <c r="K37" t="s">
        <v>205</v>
      </c>
      <c r="L37" s="7">
        <v>120</v>
      </c>
      <c r="M37" s="7">
        <v>130</v>
      </c>
      <c r="N37" s="7">
        <f>Cardapio348[[#This Row],[Preço atualizado]]-Cardapio348[[#This Row],[Preço venda]]</f>
        <v>10</v>
      </c>
      <c r="O37" s="7">
        <v>0</v>
      </c>
    </row>
    <row r="38" spans="1:15" hidden="1" x14ac:dyDescent="0.3">
      <c r="A38">
        <v>2503</v>
      </c>
      <c r="B38" t="s">
        <v>56</v>
      </c>
      <c r="C38" t="s">
        <v>16</v>
      </c>
      <c r="D38">
        <v>21069090</v>
      </c>
      <c r="E38" t="s">
        <v>17</v>
      </c>
      <c r="F38" t="s">
        <v>18</v>
      </c>
      <c r="G38" t="s">
        <v>51</v>
      </c>
      <c r="H38" t="s">
        <v>20</v>
      </c>
      <c r="I38" t="s">
        <v>21</v>
      </c>
      <c r="J38">
        <v>5002</v>
      </c>
      <c r="K38" t="s">
        <v>205</v>
      </c>
      <c r="L38" s="7">
        <v>135</v>
      </c>
      <c r="M38" s="7">
        <v>156</v>
      </c>
      <c r="N38" s="7">
        <f>Cardapio348[[#This Row],[Preço atualizado]]-Cardapio348[[#This Row],[Preço venda]]</f>
        <v>21</v>
      </c>
      <c r="O38" s="7">
        <v>0</v>
      </c>
    </row>
    <row r="39" spans="1:15" hidden="1" x14ac:dyDescent="0.3">
      <c r="A39">
        <v>2502</v>
      </c>
      <c r="B39" t="s">
        <v>57</v>
      </c>
      <c r="C39" t="s">
        <v>16</v>
      </c>
      <c r="D39">
        <v>21069090</v>
      </c>
      <c r="E39" t="s">
        <v>17</v>
      </c>
      <c r="F39" t="s">
        <v>18</v>
      </c>
      <c r="G39" t="s">
        <v>51</v>
      </c>
      <c r="H39" t="s">
        <v>20</v>
      </c>
      <c r="I39" t="s">
        <v>21</v>
      </c>
      <c r="J39">
        <v>5002</v>
      </c>
      <c r="K39" t="s">
        <v>205</v>
      </c>
      <c r="L39" s="7">
        <v>142</v>
      </c>
      <c r="M39" s="7">
        <v>164</v>
      </c>
      <c r="N39" s="7">
        <f>Cardapio348[[#This Row],[Preço atualizado]]-Cardapio348[[#This Row],[Preço venda]]</f>
        <v>22</v>
      </c>
      <c r="O39" s="7">
        <v>0</v>
      </c>
    </row>
    <row r="40" spans="1:15" hidden="1" x14ac:dyDescent="0.3">
      <c r="A40">
        <v>2504</v>
      </c>
      <c r="B40" t="s">
        <v>58</v>
      </c>
      <c r="C40" t="s">
        <v>16</v>
      </c>
      <c r="D40">
        <v>21069090</v>
      </c>
      <c r="E40" t="s">
        <v>17</v>
      </c>
      <c r="F40" t="s">
        <v>18</v>
      </c>
      <c r="G40" t="s">
        <v>51</v>
      </c>
      <c r="H40" t="s">
        <v>20</v>
      </c>
      <c r="I40" t="s">
        <v>21</v>
      </c>
      <c r="J40">
        <v>5002</v>
      </c>
      <c r="K40" t="s">
        <v>205</v>
      </c>
      <c r="L40" s="7">
        <v>142</v>
      </c>
      <c r="M40" s="7">
        <v>182</v>
      </c>
      <c r="N40" s="7">
        <f>Cardapio348[[#This Row],[Preço atualizado]]-Cardapio348[[#This Row],[Preço venda]]</f>
        <v>40</v>
      </c>
      <c r="O40" s="7">
        <v>0</v>
      </c>
    </row>
    <row r="41" spans="1:15" hidden="1" x14ac:dyDescent="0.3">
      <c r="A41">
        <v>2506</v>
      </c>
      <c r="B41" t="s">
        <v>59</v>
      </c>
      <c r="C41" t="s">
        <v>16</v>
      </c>
      <c r="D41">
        <v>21069090</v>
      </c>
      <c r="E41" t="s">
        <v>17</v>
      </c>
      <c r="F41" t="s">
        <v>18</v>
      </c>
      <c r="G41" t="s">
        <v>51</v>
      </c>
      <c r="H41" t="s">
        <v>20</v>
      </c>
      <c r="I41" t="s">
        <v>21</v>
      </c>
      <c r="J41">
        <v>5002</v>
      </c>
      <c r="K41" t="s">
        <v>205</v>
      </c>
      <c r="L41" s="7">
        <v>142</v>
      </c>
      <c r="M41" s="7">
        <v>162</v>
      </c>
      <c r="N41" s="7">
        <f>Cardapio348[[#This Row],[Preço atualizado]]-Cardapio348[[#This Row],[Preço venda]]</f>
        <v>20</v>
      </c>
      <c r="O41" s="7">
        <v>0</v>
      </c>
    </row>
    <row r="42" spans="1:15" hidden="1" x14ac:dyDescent="0.3">
      <c r="A42">
        <v>2501</v>
      </c>
      <c r="B42" t="s">
        <v>60</v>
      </c>
      <c r="C42" t="s">
        <v>16</v>
      </c>
      <c r="D42">
        <v>21069090</v>
      </c>
      <c r="E42" t="s">
        <v>17</v>
      </c>
      <c r="F42" t="s">
        <v>18</v>
      </c>
      <c r="G42" t="s">
        <v>51</v>
      </c>
      <c r="H42" t="s">
        <v>20</v>
      </c>
      <c r="I42" t="s">
        <v>21</v>
      </c>
      <c r="J42">
        <v>5002</v>
      </c>
      <c r="K42" t="s">
        <v>205</v>
      </c>
      <c r="L42" s="7">
        <v>162</v>
      </c>
      <c r="M42" s="7">
        <v>202</v>
      </c>
      <c r="N42" s="7">
        <f>Cardapio348[[#This Row],[Preço atualizado]]-Cardapio348[[#This Row],[Preço venda]]</f>
        <v>40</v>
      </c>
      <c r="O42" s="7">
        <v>0</v>
      </c>
    </row>
    <row r="43" spans="1:15" hidden="1" x14ac:dyDescent="0.3">
      <c r="A43">
        <v>2505</v>
      </c>
      <c r="B43" t="s">
        <v>61</v>
      </c>
      <c r="C43" t="s">
        <v>16</v>
      </c>
      <c r="D43">
        <v>21069090</v>
      </c>
      <c r="E43" t="s">
        <v>17</v>
      </c>
      <c r="F43" t="s">
        <v>18</v>
      </c>
      <c r="G43" t="s">
        <v>51</v>
      </c>
      <c r="H43" t="s">
        <v>20</v>
      </c>
      <c r="I43" t="s">
        <v>21</v>
      </c>
      <c r="J43">
        <v>5002</v>
      </c>
      <c r="K43" t="s">
        <v>205</v>
      </c>
      <c r="L43" s="7">
        <v>175</v>
      </c>
      <c r="M43" s="7">
        <v>212</v>
      </c>
      <c r="N43" s="7">
        <f>Cardapio348[[#This Row],[Preço atualizado]]-Cardapio348[[#This Row],[Preço venda]]</f>
        <v>37</v>
      </c>
      <c r="O43" s="7">
        <v>0</v>
      </c>
    </row>
    <row r="44" spans="1:15" hidden="1" x14ac:dyDescent="0.3">
      <c r="A44">
        <v>2013</v>
      </c>
      <c r="B44" t="s">
        <v>62</v>
      </c>
      <c r="C44" t="s">
        <v>16</v>
      </c>
      <c r="D44">
        <v>21069090</v>
      </c>
      <c r="E44" t="s">
        <v>17</v>
      </c>
      <c r="F44" t="s">
        <v>18</v>
      </c>
      <c r="G44" t="s">
        <v>51</v>
      </c>
      <c r="H44" t="s">
        <v>63</v>
      </c>
      <c r="I44" t="s">
        <v>21</v>
      </c>
      <c r="J44">
        <v>5001</v>
      </c>
      <c r="K44" t="s">
        <v>206</v>
      </c>
      <c r="L44" s="7">
        <v>98</v>
      </c>
      <c r="M44" s="7">
        <v>112</v>
      </c>
      <c r="N44" s="7">
        <f>Cardapio348[[#This Row],[Preço atualizado]]-Cardapio348[[#This Row],[Preço venda]]</f>
        <v>14</v>
      </c>
      <c r="O44" s="7">
        <v>0</v>
      </c>
    </row>
    <row r="45" spans="1:15" hidden="1" x14ac:dyDescent="0.3">
      <c r="A45">
        <v>2005</v>
      </c>
      <c r="B45" t="s">
        <v>64</v>
      </c>
      <c r="C45" t="s">
        <v>16</v>
      </c>
      <c r="D45">
        <v>21069090</v>
      </c>
      <c r="E45" t="s">
        <v>17</v>
      </c>
      <c r="F45" t="s">
        <v>18</v>
      </c>
      <c r="G45" t="s">
        <v>51</v>
      </c>
      <c r="H45" t="s">
        <v>63</v>
      </c>
      <c r="I45" t="s">
        <v>21</v>
      </c>
      <c r="J45">
        <v>5001</v>
      </c>
      <c r="K45" t="s">
        <v>206</v>
      </c>
      <c r="L45" s="7">
        <v>130</v>
      </c>
      <c r="M45" s="7">
        <v>146</v>
      </c>
      <c r="N45" s="7">
        <f>Cardapio348[[#This Row],[Preço atualizado]]-Cardapio348[[#This Row],[Preço venda]]</f>
        <v>16</v>
      </c>
      <c r="O45" s="7">
        <v>0</v>
      </c>
    </row>
    <row r="46" spans="1:15" hidden="1" x14ac:dyDescent="0.3">
      <c r="A46">
        <v>2016</v>
      </c>
      <c r="B46" t="s">
        <v>65</v>
      </c>
      <c r="C46" t="s">
        <v>16</v>
      </c>
      <c r="D46">
        <v>21069090</v>
      </c>
      <c r="E46" t="s">
        <v>17</v>
      </c>
      <c r="F46" t="s">
        <v>18</v>
      </c>
      <c r="G46" t="s">
        <v>51</v>
      </c>
      <c r="H46" t="s">
        <v>63</v>
      </c>
      <c r="I46" t="s">
        <v>21</v>
      </c>
      <c r="J46">
        <v>5001</v>
      </c>
      <c r="K46" t="s">
        <v>206</v>
      </c>
      <c r="L46" s="7">
        <v>130</v>
      </c>
      <c r="M46" s="7">
        <v>146</v>
      </c>
      <c r="N46" s="7">
        <f>Cardapio348[[#This Row],[Preço atualizado]]-Cardapio348[[#This Row],[Preço venda]]</f>
        <v>16</v>
      </c>
      <c r="O46" s="7">
        <v>0</v>
      </c>
    </row>
    <row r="47" spans="1:15" hidden="1" x14ac:dyDescent="0.3">
      <c r="A47">
        <v>2009</v>
      </c>
      <c r="B47" t="s">
        <v>217</v>
      </c>
      <c r="C47" t="s">
        <v>16</v>
      </c>
      <c r="D47">
        <v>21069090</v>
      </c>
      <c r="E47" t="s">
        <v>17</v>
      </c>
      <c r="F47" t="s">
        <v>18</v>
      </c>
      <c r="G47" t="s">
        <v>51</v>
      </c>
      <c r="H47" t="s">
        <v>63</v>
      </c>
      <c r="I47" t="s">
        <v>21</v>
      </c>
      <c r="J47">
        <v>5001</v>
      </c>
      <c r="K47" t="s">
        <v>206</v>
      </c>
      <c r="L47" s="7">
        <v>135</v>
      </c>
      <c r="M47" s="7">
        <v>148</v>
      </c>
      <c r="N47" s="7">
        <f>Cardapio348[[#This Row],[Preço atualizado]]-Cardapio348[[#This Row],[Preço venda]]</f>
        <v>13</v>
      </c>
      <c r="O47" s="7">
        <v>0</v>
      </c>
    </row>
    <row r="48" spans="1:15" hidden="1" x14ac:dyDescent="0.3">
      <c r="A48">
        <v>2053</v>
      </c>
      <c r="B48" t="s">
        <v>66</v>
      </c>
      <c r="C48" t="s">
        <v>16</v>
      </c>
      <c r="D48">
        <v>21069090</v>
      </c>
      <c r="E48" t="s">
        <v>17</v>
      </c>
      <c r="F48" t="s">
        <v>18</v>
      </c>
      <c r="G48" t="s">
        <v>51</v>
      </c>
      <c r="H48" t="s">
        <v>63</v>
      </c>
      <c r="I48" t="s">
        <v>21</v>
      </c>
      <c r="J48">
        <v>5001</v>
      </c>
      <c r="K48" t="s">
        <v>206</v>
      </c>
      <c r="L48" s="7">
        <v>140</v>
      </c>
      <c r="M48" s="7">
        <v>198</v>
      </c>
      <c r="N48" s="7">
        <f>Cardapio348[[#This Row],[Preço atualizado]]-Cardapio348[[#This Row],[Preço venda]]</f>
        <v>58</v>
      </c>
      <c r="O48" s="7">
        <v>0</v>
      </c>
    </row>
    <row r="49" spans="1:15" hidden="1" x14ac:dyDescent="0.3">
      <c r="A49">
        <v>2004</v>
      </c>
      <c r="B49" t="s">
        <v>67</v>
      </c>
      <c r="C49" t="s">
        <v>16</v>
      </c>
      <c r="D49">
        <v>21069090</v>
      </c>
      <c r="E49" t="s">
        <v>17</v>
      </c>
      <c r="F49" t="s">
        <v>18</v>
      </c>
      <c r="G49" t="s">
        <v>51</v>
      </c>
      <c r="H49" t="s">
        <v>63</v>
      </c>
      <c r="I49" t="s">
        <v>21</v>
      </c>
      <c r="J49">
        <v>5001</v>
      </c>
      <c r="K49" t="s">
        <v>206</v>
      </c>
      <c r="L49" s="7">
        <v>155</v>
      </c>
      <c r="M49" s="7">
        <v>165</v>
      </c>
      <c r="N49" s="7">
        <f>Cardapio348[[#This Row],[Preço atualizado]]-Cardapio348[[#This Row],[Preço venda]]</f>
        <v>10</v>
      </c>
      <c r="O49" s="7">
        <v>0</v>
      </c>
    </row>
    <row r="50" spans="1:15" hidden="1" x14ac:dyDescent="0.3">
      <c r="A50">
        <v>2010</v>
      </c>
      <c r="B50" t="s">
        <v>68</v>
      </c>
      <c r="C50" t="s">
        <v>16</v>
      </c>
      <c r="D50">
        <v>21069090</v>
      </c>
      <c r="E50" t="s">
        <v>17</v>
      </c>
      <c r="F50" t="s">
        <v>18</v>
      </c>
      <c r="G50" t="s">
        <v>51</v>
      </c>
      <c r="H50" t="s">
        <v>63</v>
      </c>
      <c r="I50" t="s">
        <v>21</v>
      </c>
      <c r="J50">
        <v>5001</v>
      </c>
      <c r="K50" t="s">
        <v>206</v>
      </c>
      <c r="L50" s="7">
        <v>177</v>
      </c>
      <c r="M50" s="7">
        <v>198</v>
      </c>
      <c r="N50" s="7">
        <f>Cardapio348[[#This Row],[Preço atualizado]]-Cardapio348[[#This Row],[Preço venda]]</f>
        <v>21</v>
      </c>
      <c r="O50" s="7">
        <v>0</v>
      </c>
    </row>
    <row r="51" spans="1:15" hidden="1" x14ac:dyDescent="0.3">
      <c r="A51">
        <v>2003</v>
      </c>
      <c r="B51" t="s">
        <v>69</v>
      </c>
      <c r="C51" t="s">
        <v>16</v>
      </c>
      <c r="D51">
        <v>21069090</v>
      </c>
      <c r="E51" t="s">
        <v>17</v>
      </c>
      <c r="F51" t="s">
        <v>18</v>
      </c>
      <c r="G51" t="s">
        <v>51</v>
      </c>
      <c r="H51" t="s">
        <v>63</v>
      </c>
      <c r="I51" t="s">
        <v>21</v>
      </c>
      <c r="J51">
        <v>5001</v>
      </c>
      <c r="K51" t="s">
        <v>206</v>
      </c>
      <c r="L51" s="7">
        <v>178</v>
      </c>
      <c r="M51" s="7">
        <v>198</v>
      </c>
      <c r="N51" s="7">
        <f>Cardapio348[[#This Row],[Preço atualizado]]-Cardapio348[[#This Row],[Preço venda]]</f>
        <v>20</v>
      </c>
      <c r="O51" s="7">
        <v>0</v>
      </c>
    </row>
    <row r="52" spans="1:15" hidden="1" x14ac:dyDescent="0.3">
      <c r="A52">
        <v>2008</v>
      </c>
      <c r="B52" t="s">
        <v>70</v>
      </c>
      <c r="C52" t="s">
        <v>16</v>
      </c>
      <c r="D52">
        <v>21069090</v>
      </c>
      <c r="E52" t="s">
        <v>17</v>
      </c>
      <c r="F52" t="s">
        <v>18</v>
      </c>
      <c r="G52" t="s">
        <v>51</v>
      </c>
      <c r="H52" t="s">
        <v>63</v>
      </c>
      <c r="I52" t="s">
        <v>21</v>
      </c>
      <c r="J52">
        <v>5001</v>
      </c>
      <c r="K52" t="s">
        <v>206</v>
      </c>
      <c r="L52" s="7">
        <v>182</v>
      </c>
      <c r="M52" s="7">
        <v>206</v>
      </c>
      <c r="N52" s="7">
        <f>Cardapio348[[#This Row],[Preço atualizado]]-Cardapio348[[#This Row],[Preço venda]]</f>
        <v>24</v>
      </c>
      <c r="O52" s="7">
        <v>0</v>
      </c>
    </row>
    <row r="53" spans="1:15" hidden="1" x14ac:dyDescent="0.3">
      <c r="A53">
        <v>2001</v>
      </c>
      <c r="B53" t="s">
        <v>71</v>
      </c>
      <c r="C53" t="s">
        <v>16</v>
      </c>
      <c r="D53">
        <v>21069090</v>
      </c>
      <c r="E53" t="s">
        <v>17</v>
      </c>
      <c r="F53" t="s">
        <v>18</v>
      </c>
      <c r="G53" t="s">
        <v>51</v>
      </c>
      <c r="H53" t="s">
        <v>63</v>
      </c>
      <c r="I53" t="s">
        <v>21</v>
      </c>
      <c r="J53">
        <v>5001</v>
      </c>
      <c r="K53" t="s">
        <v>206</v>
      </c>
      <c r="L53" s="7">
        <v>188</v>
      </c>
      <c r="M53" s="7">
        <v>258</v>
      </c>
      <c r="N53" s="7">
        <f>Cardapio348[[#This Row],[Preço atualizado]]-Cardapio348[[#This Row],[Preço venda]]</f>
        <v>70</v>
      </c>
      <c r="O53" s="7">
        <v>0</v>
      </c>
    </row>
    <row r="54" spans="1:15" hidden="1" x14ac:dyDescent="0.3">
      <c r="A54">
        <v>2002</v>
      </c>
      <c r="B54" t="s">
        <v>72</v>
      </c>
      <c r="C54" t="s">
        <v>16</v>
      </c>
      <c r="D54">
        <v>21069090</v>
      </c>
      <c r="E54" t="s">
        <v>17</v>
      </c>
      <c r="F54" t="s">
        <v>18</v>
      </c>
      <c r="G54" t="s">
        <v>51</v>
      </c>
      <c r="H54" t="s">
        <v>63</v>
      </c>
      <c r="I54" t="s">
        <v>21</v>
      </c>
      <c r="J54">
        <v>5001</v>
      </c>
      <c r="K54" t="s">
        <v>206</v>
      </c>
      <c r="L54" s="7">
        <v>188</v>
      </c>
      <c r="M54" s="7">
        <v>226</v>
      </c>
      <c r="N54" s="7">
        <f>Cardapio348[[#This Row],[Preço atualizado]]-Cardapio348[[#This Row],[Preço venda]]</f>
        <v>38</v>
      </c>
      <c r="O54" s="7">
        <v>0</v>
      </c>
    </row>
    <row r="55" spans="1:15" hidden="1" x14ac:dyDescent="0.3">
      <c r="A55">
        <v>2011</v>
      </c>
      <c r="B55" t="s">
        <v>73</v>
      </c>
      <c r="C55" t="s">
        <v>16</v>
      </c>
      <c r="D55">
        <v>21069090</v>
      </c>
      <c r="E55" t="s">
        <v>17</v>
      </c>
      <c r="F55" t="s">
        <v>18</v>
      </c>
      <c r="G55" t="s">
        <v>51</v>
      </c>
      <c r="H55" t="s">
        <v>63</v>
      </c>
      <c r="I55" t="s">
        <v>21</v>
      </c>
      <c r="J55">
        <v>5001</v>
      </c>
      <c r="K55" t="s">
        <v>206</v>
      </c>
      <c r="L55" s="7">
        <v>188</v>
      </c>
      <c r="M55" s="7">
        <v>226</v>
      </c>
      <c r="N55" s="7">
        <f>Cardapio348[[#This Row],[Preço atualizado]]-Cardapio348[[#This Row],[Preço venda]]</f>
        <v>38</v>
      </c>
      <c r="O55" s="7">
        <v>0</v>
      </c>
    </row>
    <row r="56" spans="1:15" hidden="1" x14ac:dyDescent="0.3">
      <c r="A56">
        <v>2006</v>
      </c>
      <c r="B56" t="s">
        <v>74</v>
      </c>
      <c r="C56" t="s">
        <v>16</v>
      </c>
      <c r="D56">
        <v>21069090</v>
      </c>
      <c r="E56" t="s">
        <v>17</v>
      </c>
      <c r="F56" t="s">
        <v>18</v>
      </c>
      <c r="G56" t="s">
        <v>51</v>
      </c>
      <c r="H56" t="s">
        <v>63</v>
      </c>
      <c r="I56" t="s">
        <v>21</v>
      </c>
      <c r="J56">
        <v>5001</v>
      </c>
      <c r="K56" t="s">
        <v>206</v>
      </c>
      <c r="L56" s="7">
        <v>210</v>
      </c>
      <c r="M56" s="7">
        <v>258</v>
      </c>
      <c r="N56" s="7">
        <f>Cardapio348[[#This Row],[Preço atualizado]]-Cardapio348[[#This Row],[Preço venda]]</f>
        <v>48</v>
      </c>
      <c r="O56" s="7">
        <v>0</v>
      </c>
    </row>
    <row r="57" spans="1:15" hidden="1" x14ac:dyDescent="0.3">
      <c r="A57">
        <v>2014</v>
      </c>
      <c r="B57" t="s">
        <v>75</v>
      </c>
      <c r="C57" t="s">
        <v>16</v>
      </c>
      <c r="D57">
        <v>21069090</v>
      </c>
      <c r="E57" t="s">
        <v>17</v>
      </c>
      <c r="F57" t="s">
        <v>18</v>
      </c>
      <c r="G57" t="s">
        <v>51</v>
      </c>
      <c r="H57" t="s">
        <v>63</v>
      </c>
      <c r="I57" t="s">
        <v>21</v>
      </c>
      <c r="J57">
        <v>5001</v>
      </c>
      <c r="K57" t="s">
        <v>206</v>
      </c>
      <c r="L57" s="7">
        <v>210</v>
      </c>
      <c r="M57" s="7">
        <v>248</v>
      </c>
      <c r="N57" s="7">
        <f>Cardapio348[[#This Row],[Preço atualizado]]-Cardapio348[[#This Row],[Preço venda]]</f>
        <v>38</v>
      </c>
      <c r="O57" s="7">
        <v>0</v>
      </c>
    </row>
    <row r="58" spans="1:15" hidden="1" x14ac:dyDescent="0.3">
      <c r="A58">
        <v>2051</v>
      </c>
      <c r="B58" t="s">
        <v>76</v>
      </c>
      <c r="C58" t="s">
        <v>16</v>
      </c>
      <c r="D58">
        <v>21069090</v>
      </c>
      <c r="E58" t="s">
        <v>17</v>
      </c>
      <c r="F58" t="s">
        <v>18</v>
      </c>
      <c r="G58" t="s">
        <v>51</v>
      </c>
      <c r="H58" t="s">
        <v>63</v>
      </c>
      <c r="I58" t="s">
        <v>21</v>
      </c>
      <c r="J58">
        <v>5001</v>
      </c>
      <c r="K58" t="s">
        <v>206</v>
      </c>
      <c r="L58" s="7">
        <v>220</v>
      </c>
      <c r="M58" s="7">
        <v>248</v>
      </c>
      <c r="N58" s="7">
        <f>Cardapio348[[#This Row],[Preço atualizado]]-Cardapio348[[#This Row],[Preço venda]]</f>
        <v>28</v>
      </c>
      <c r="O58" s="7">
        <v>0</v>
      </c>
    </row>
    <row r="59" spans="1:15" hidden="1" x14ac:dyDescent="0.3">
      <c r="A59">
        <v>2055</v>
      </c>
      <c r="B59" t="s">
        <v>77</v>
      </c>
      <c r="C59" t="s">
        <v>16</v>
      </c>
      <c r="D59">
        <v>21069090</v>
      </c>
      <c r="E59" t="s">
        <v>17</v>
      </c>
      <c r="F59" t="s">
        <v>18</v>
      </c>
      <c r="G59" t="s">
        <v>51</v>
      </c>
      <c r="H59" t="s">
        <v>20</v>
      </c>
      <c r="I59" t="s">
        <v>21</v>
      </c>
      <c r="J59">
        <v>5001</v>
      </c>
      <c r="K59" t="s">
        <v>206</v>
      </c>
      <c r="L59" s="7">
        <v>230</v>
      </c>
      <c r="M59" s="7">
        <v>268</v>
      </c>
      <c r="N59" s="7">
        <f>Cardapio348[[#This Row],[Preço atualizado]]-Cardapio348[[#This Row],[Preço venda]]</f>
        <v>38</v>
      </c>
      <c r="O59" s="7">
        <v>0</v>
      </c>
    </row>
    <row r="60" spans="1:15" hidden="1" x14ac:dyDescent="0.3">
      <c r="A60">
        <v>2037</v>
      </c>
      <c r="B60" t="s">
        <v>78</v>
      </c>
      <c r="C60" t="s">
        <v>16</v>
      </c>
      <c r="D60">
        <v>21069090</v>
      </c>
      <c r="E60" t="s">
        <v>17</v>
      </c>
      <c r="F60" t="s">
        <v>18</v>
      </c>
      <c r="G60" t="s">
        <v>51</v>
      </c>
      <c r="H60" t="s">
        <v>63</v>
      </c>
      <c r="I60" t="s">
        <v>21</v>
      </c>
      <c r="J60">
        <v>5001</v>
      </c>
      <c r="K60" t="s">
        <v>206</v>
      </c>
      <c r="L60" s="7">
        <v>290</v>
      </c>
      <c r="M60" s="7">
        <v>299</v>
      </c>
      <c r="N60" s="7">
        <f>Cardapio348[[#This Row],[Preço atualizado]]-Cardapio348[[#This Row],[Preço venda]]</f>
        <v>9</v>
      </c>
      <c r="O60" s="7">
        <v>0</v>
      </c>
    </row>
    <row r="61" spans="1:15" hidden="1" x14ac:dyDescent="0.3">
      <c r="A61">
        <v>2012</v>
      </c>
      <c r="B61" t="s">
        <v>79</v>
      </c>
      <c r="C61" t="s">
        <v>16</v>
      </c>
      <c r="D61">
        <v>21069090</v>
      </c>
      <c r="E61" t="s">
        <v>17</v>
      </c>
      <c r="F61" t="s">
        <v>18</v>
      </c>
      <c r="G61" t="s">
        <v>51</v>
      </c>
      <c r="H61" t="s">
        <v>63</v>
      </c>
      <c r="I61" t="s">
        <v>21</v>
      </c>
      <c r="J61">
        <v>5001</v>
      </c>
      <c r="K61" t="s">
        <v>206</v>
      </c>
      <c r="L61" s="7">
        <v>499</v>
      </c>
      <c r="M61" s="7">
        <v>548</v>
      </c>
      <c r="N61" s="7">
        <f>Cardapio348[[#This Row],[Preço atualizado]]-Cardapio348[[#This Row],[Preço venda]]</f>
        <v>49</v>
      </c>
      <c r="O61" s="7">
        <v>0</v>
      </c>
    </row>
    <row r="62" spans="1:15" hidden="1" x14ac:dyDescent="0.3">
      <c r="A62">
        <v>9020</v>
      </c>
      <c r="B62" t="s">
        <v>80</v>
      </c>
      <c r="J62">
        <v>5003</v>
      </c>
      <c r="K62" t="s">
        <v>81</v>
      </c>
      <c r="L62" s="7">
        <v>180</v>
      </c>
      <c r="M62" s="7">
        <v>180</v>
      </c>
      <c r="N62" s="6">
        <f>Cardapio348[[#This Row],[Preço atualizado]]-Cardapio348[[#This Row],[Preço venda]]</f>
        <v>0</v>
      </c>
      <c r="O62" s="7">
        <v>0</v>
      </c>
    </row>
    <row r="63" spans="1:15" hidden="1" x14ac:dyDescent="0.3">
      <c r="A63">
        <v>9018</v>
      </c>
      <c r="B63" t="s">
        <v>82</v>
      </c>
      <c r="J63">
        <v>5003</v>
      </c>
      <c r="K63" t="s">
        <v>81</v>
      </c>
      <c r="L63" s="7">
        <v>190</v>
      </c>
      <c r="M63" s="7">
        <v>190</v>
      </c>
      <c r="N63" s="6">
        <f>Cardapio348[[#This Row],[Preço atualizado]]-Cardapio348[[#This Row],[Preço venda]]</f>
        <v>0</v>
      </c>
      <c r="O63" s="7">
        <v>0</v>
      </c>
    </row>
    <row r="64" spans="1:15" hidden="1" x14ac:dyDescent="0.3">
      <c r="A64">
        <v>9026</v>
      </c>
      <c r="B64" t="s">
        <v>83</v>
      </c>
      <c r="J64">
        <v>5003</v>
      </c>
      <c r="K64" t="s">
        <v>81</v>
      </c>
      <c r="L64" s="7">
        <v>190</v>
      </c>
      <c r="M64" s="7">
        <v>190</v>
      </c>
      <c r="N64" s="6">
        <f>Cardapio348[[#This Row],[Preço atualizado]]-Cardapio348[[#This Row],[Preço venda]]</f>
        <v>0</v>
      </c>
      <c r="O64" s="7">
        <v>0</v>
      </c>
    </row>
    <row r="65" spans="1:15" hidden="1" x14ac:dyDescent="0.3">
      <c r="A65">
        <v>9024</v>
      </c>
      <c r="B65" t="s">
        <v>84</v>
      </c>
      <c r="J65">
        <v>5003</v>
      </c>
      <c r="K65" t="s">
        <v>81</v>
      </c>
      <c r="L65" s="7">
        <v>190</v>
      </c>
      <c r="M65" s="7">
        <v>190</v>
      </c>
      <c r="N65" s="6">
        <f>Cardapio348[[#This Row],[Preço atualizado]]-Cardapio348[[#This Row],[Preço venda]]</f>
        <v>0</v>
      </c>
      <c r="O65" s="7">
        <v>0</v>
      </c>
    </row>
    <row r="66" spans="1:15" hidden="1" x14ac:dyDescent="0.3">
      <c r="A66">
        <v>9007</v>
      </c>
      <c r="B66" t="s">
        <v>85</v>
      </c>
      <c r="C66" t="s">
        <v>16</v>
      </c>
      <c r="D66">
        <v>2013000</v>
      </c>
      <c r="E66" t="s">
        <v>17</v>
      </c>
      <c r="F66" t="s">
        <v>18</v>
      </c>
      <c r="G66" t="s">
        <v>51</v>
      </c>
      <c r="H66" t="s">
        <v>86</v>
      </c>
      <c r="I66" t="s">
        <v>21</v>
      </c>
      <c r="J66">
        <v>5003</v>
      </c>
      <c r="K66" t="s">
        <v>81</v>
      </c>
      <c r="L66" s="7">
        <v>120</v>
      </c>
      <c r="M66" s="7">
        <v>120</v>
      </c>
      <c r="N66" s="6">
        <f>Cardapio348[[#This Row],[Preço atualizado]]-Cardapio348[[#This Row],[Preço venda]]</f>
        <v>0</v>
      </c>
      <c r="O66" s="7">
        <v>0</v>
      </c>
    </row>
    <row r="67" spans="1:15" hidden="1" x14ac:dyDescent="0.3">
      <c r="A67">
        <v>9008</v>
      </c>
      <c r="B67" t="s">
        <v>87</v>
      </c>
      <c r="C67" t="s">
        <v>16</v>
      </c>
      <c r="D67">
        <v>2023000</v>
      </c>
      <c r="E67" t="s">
        <v>17</v>
      </c>
      <c r="F67" t="s">
        <v>18</v>
      </c>
      <c r="G67" t="s">
        <v>51</v>
      </c>
      <c r="H67" t="s">
        <v>86</v>
      </c>
      <c r="I67" t="s">
        <v>21</v>
      </c>
      <c r="J67">
        <v>5003</v>
      </c>
      <c r="K67" t="s">
        <v>81</v>
      </c>
      <c r="L67" s="7">
        <v>120</v>
      </c>
      <c r="M67" s="7">
        <v>120</v>
      </c>
      <c r="N67" s="6">
        <f>Cardapio348[[#This Row],[Preço atualizado]]-Cardapio348[[#This Row],[Preço venda]]</f>
        <v>0</v>
      </c>
      <c r="O67" s="7">
        <v>0</v>
      </c>
    </row>
    <row r="68" spans="1:15" hidden="1" x14ac:dyDescent="0.3">
      <c r="A68">
        <v>9012</v>
      </c>
      <c r="B68" t="s">
        <v>88</v>
      </c>
      <c r="C68" t="s">
        <v>16</v>
      </c>
      <c r="D68">
        <v>16010000</v>
      </c>
      <c r="E68" t="s">
        <v>17</v>
      </c>
      <c r="F68" t="s">
        <v>18</v>
      </c>
      <c r="G68" t="s">
        <v>51</v>
      </c>
      <c r="H68" t="s">
        <v>86</v>
      </c>
      <c r="I68" t="s">
        <v>21</v>
      </c>
      <c r="J68">
        <v>5003</v>
      </c>
      <c r="K68" t="s">
        <v>81</v>
      </c>
      <c r="L68" s="7">
        <v>140</v>
      </c>
      <c r="M68" s="7">
        <v>140</v>
      </c>
      <c r="N68" s="7">
        <f>Cardapio348[[#This Row],[Preço atualizado]]-Cardapio348[[#This Row],[Preço venda]]</f>
        <v>0</v>
      </c>
      <c r="O68" s="7">
        <v>0</v>
      </c>
    </row>
    <row r="69" spans="1:15" hidden="1" x14ac:dyDescent="0.3">
      <c r="A69">
        <v>9013</v>
      </c>
      <c r="B69" t="s">
        <v>89</v>
      </c>
      <c r="C69" t="s">
        <v>16</v>
      </c>
      <c r="D69">
        <v>16010000</v>
      </c>
      <c r="E69" t="s">
        <v>17</v>
      </c>
      <c r="F69" t="s">
        <v>18</v>
      </c>
      <c r="G69" t="s">
        <v>51</v>
      </c>
      <c r="H69" t="s">
        <v>86</v>
      </c>
      <c r="I69" t="s">
        <v>21</v>
      </c>
      <c r="J69">
        <v>5003</v>
      </c>
      <c r="K69" t="s">
        <v>81</v>
      </c>
      <c r="L69" s="7">
        <v>140</v>
      </c>
      <c r="M69" s="7">
        <v>140</v>
      </c>
      <c r="N69" s="7">
        <f>Cardapio348[[#This Row],[Preço atualizado]]-Cardapio348[[#This Row],[Preço venda]]</f>
        <v>0</v>
      </c>
      <c r="O69" s="7">
        <v>0</v>
      </c>
    </row>
    <row r="70" spans="1:15" hidden="1" x14ac:dyDescent="0.3">
      <c r="A70" s="9">
        <v>9002</v>
      </c>
      <c r="B70" s="9" t="s">
        <v>90</v>
      </c>
      <c r="C70" s="8" t="s">
        <v>16</v>
      </c>
      <c r="D70" s="8">
        <v>2044200</v>
      </c>
      <c r="E70" s="8" t="s">
        <v>17</v>
      </c>
      <c r="F70" s="8" t="s">
        <v>18</v>
      </c>
      <c r="G70" s="8" t="s">
        <v>51</v>
      </c>
      <c r="H70" s="8" t="s">
        <v>86</v>
      </c>
      <c r="I70" s="8" t="s">
        <v>21</v>
      </c>
      <c r="J70" s="9">
        <v>5003</v>
      </c>
      <c r="K70" s="9" t="s">
        <v>81</v>
      </c>
      <c r="L70" s="11">
        <v>240</v>
      </c>
      <c r="M70" s="11">
        <v>240</v>
      </c>
      <c r="N70" s="10">
        <f>Cardapio348[[#This Row],[Preço atualizado]]-Cardapio348[[#This Row],[Preço venda]]</f>
        <v>0</v>
      </c>
      <c r="O70" s="7">
        <v>0</v>
      </c>
    </row>
    <row r="71" spans="1:15" hidden="1" x14ac:dyDescent="0.3">
      <c r="A71" s="9">
        <v>9009</v>
      </c>
      <c r="B71" s="9" t="s">
        <v>91</v>
      </c>
      <c r="C71" t="s">
        <v>16</v>
      </c>
      <c r="D71">
        <v>2013000</v>
      </c>
      <c r="E71" t="s">
        <v>17</v>
      </c>
      <c r="F71" t="s">
        <v>18</v>
      </c>
      <c r="G71" t="s">
        <v>51</v>
      </c>
      <c r="H71" t="s">
        <v>86</v>
      </c>
      <c r="I71" t="s">
        <v>21</v>
      </c>
      <c r="J71" s="9">
        <v>5003</v>
      </c>
      <c r="K71" s="9" t="s">
        <v>81</v>
      </c>
      <c r="L71" s="11">
        <v>190</v>
      </c>
      <c r="M71" s="11">
        <v>190</v>
      </c>
      <c r="N71" s="10">
        <f>Cardapio348[[#This Row],[Preço atualizado]]-Cardapio348[[#This Row],[Preço venda]]</f>
        <v>0</v>
      </c>
      <c r="O71" s="7">
        <v>0</v>
      </c>
    </row>
    <row r="72" spans="1:15" hidden="1" x14ac:dyDescent="0.3">
      <c r="A72" s="9">
        <v>9001</v>
      </c>
      <c r="B72" s="9" t="s">
        <v>92</v>
      </c>
      <c r="C72" t="s">
        <v>16</v>
      </c>
      <c r="D72">
        <v>2013000</v>
      </c>
      <c r="E72" t="s">
        <v>17</v>
      </c>
      <c r="F72" t="s">
        <v>18</v>
      </c>
      <c r="G72" t="s">
        <v>51</v>
      </c>
      <c r="H72" t="s">
        <v>86</v>
      </c>
      <c r="I72" t="s">
        <v>21</v>
      </c>
      <c r="J72" s="9">
        <v>5003</v>
      </c>
      <c r="K72" s="9" t="s">
        <v>81</v>
      </c>
      <c r="L72" s="11">
        <v>170</v>
      </c>
      <c r="M72" s="11">
        <v>170</v>
      </c>
      <c r="N72" s="10">
        <f>Cardapio348[[#This Row],[Preço atualizado]]-Cardapio348[[#This Row],[Preço venda]]</f>
        <v>0</v>
      </c>
      <c r="O72" s="7">
        <v>0</v>
      </c>
    </row>
    <row r="73" spans="1:15" hidden="1" x14ac:dyDescent="0.3">
      <c r="A73" s="9">
        <v>9006</v>
      </c>
      <c r="B73" s="9" t="s">
        <v>93</v>
      </c>
      <c r="C73" t="s">
        <v>16</v>
      </c>
      <c r="D73">
        <v>2022090</v>
      </c>
      <c r="E73" t="s">
        <v>17</v>
      </c>
      <c r="F73" t="s">
        <v>18</v>
      </c>
      <c r="G73" t="s">
        <v>51</v>
      </c>
      <c r="H73" t="s">
        <v>86</v>
      </c>
      <c r="I73" t="s">
        <v>21</v>
      </c>
      <c r="J73" s="9">
        <v>5003</v>
      </c>
      <c r="K73" s="9" t="s">
        <v>81</v>
      </c>
      <c r="L73" s="11">
        <v>190</v>
      </c>
      <c r="M73" s="11">
        <v>190</v>
      </c>
      <c r="N73" s="10">
        <f>Cardapio348[[#This Row],[Preço atualizado]]-Cardapio348[[#This Row],[Preço venda]]</f>
        <v>0</v>
      </c>
      <c r="O73" s="7">
        <v>0</v>
      </c>
    </row>
    <row r="74" spans="1:15" hidden="1" x14ac:dyDescent="0.3">
      <c r="A74" s="9">
        <v>9014</v>
      </c>
      <c r="B74" s="9" t="s">
        <v>94</v>
      </c>
      <c r="C74" t="s">
        <v>95</v>
      </c>
      <c r="D74">
        <v>2013000</v>
      </c>
      <c r="E74" t="s">
        <v>17</v>
      </c>
      <c r="F74" t="s">
        <v>18</v>
      </c>
      <c r="G74" t="s">
        <v>51</v>
      </c>
      <c r="H74" t="s">
        <v>86</v>
      </c>
      <c r="I74" t="s">
        <v>21</v>
      </c>
      <c r="J74" s="9">
        <v>5003</v>
      </c>
      <c r="K74" s="9" t="s">
        <v>81</v>
      </c>
      <c r="L74" s="11">
        <v>190</v>
      </c>
      <c r="M74" s="11">
        <v>190</v>
      </c>
      <c r="N74" s="10">
        <f>Cardapio348[[#This Row],[Preço atualizado]]-Cardapio348[[#This Row],[Preço venda]]</f>
        <v>0</v>
      </c>
      <c r="O74" s="7">
        <v>0</v>
      </c>
    </row>
    <row r="75" spans="1:15" hidden="1" x14ac:dyDescent="0.3">
      <c r="A75" s="9">
        <v>9015</v>
      </c>
      <c r="B75" s="9" t="s">
        <v>96</v>
      </c>
      <c r="C75" t="s">
        <v>16</v>
      </c>
      <c r="D75">
        <v>2013000</v>
      </c>
      <c r="E75" t="s">
        <v>17</v>
      </c>
      <c r="F75" t="s">
        <v>18</v>
      </c>
      <c r="G75" t="s">
        <v>51</v>
      </c>
      <c r="H75" t="s">
        <v>86</v>
      </c>
      <c r="I75" t="s">
        <v>21</v>
      </c>
      <c r="J75" s="9">
        <v>5003</v>
      </c>
      <c r="K75" s="9" t="s">
        <v>81</v>
      </c>
      <c r="L75" s="11">
        <v>240</v>
      </c>
      <c r="M75" s="11">
        <v>240</v>
      </c>
      <c r="N75" s="11">
        <f>Cardapio348[[#This Row],[Preço atualizado]]-Cardapio348[[#This Row],[Preço venda]]</f>
        <v>0</v>
      </c>
      <c r="O75" s="7">
        <v>0</v>
      </c>
    </row>
    <row r="76" spans="1:15" hidden="1" x14ac:dyDescent="0.3">
      <c r="A76" s="9">
        <v>9004</v>
      </c>
      <c r="B76" s="9" t="s">
        <v>97</v>
      </c>
      <c r="C76" s="8" t="s">
        <v>16</v>
      </c>
      <c r="D76" s="8">
        <v>16010000</v>
      </c>
      <c r="E76" s="8" t="s">
        <v>17</v>
      </c>
      <c r="F76" s="8" t="s">
        <v>18</v>
      </c>
      <c r="G76" s="8" t="s">
        <v>51</v>
      </c>
      <c r="H76" s="8" t="s">
        <v>86</v>
      </c>
      <c r="I76" s="8" t="s">
        <v>21</v>
      </c>
      <c r="J76" s="9">
        <v>5003</v>
      </c>
      <c r="K76" s="9" t="s">
        <v>81</v>
      </c>
      <c r="L76" s="11">
        <v>70</v>
      </c>
      <c r="M76" s="11">
        <v>70</v>
      </c>
      <c r="N76" s="10">
        <f>Cardapio348[[#This Row],[Preço atualizado]]-Cardapio348[[#This Row],[Preço venda]]</f>
        <v>0</v>
      </c>
      <c r="O76" s="7">
        <v>0</v>
      </c>
    </row>
    <row r="77" spans="1:15" hidden="1" x14ac:dyDescent="0.3">
      <c r="A77" s="9">
        <v>9034</v>
      </c>
      <c r="B77" s="9" t="s">
        <v>98</v>
      </c>
      <c r="C77" t="s">
        <v>16</v>
      </c>
      <c r="D77">
        <v>16010000</v>
      </c>
      <c r="E77" t="s">
        <v>17</v>
      </c>
      <c r="F77" t="s">
        <v>18</v>
      </c>
      <c r="G77" t="s">
        <v>51</v>
      </c>
      <c r="H77" t="s">
        <v>86</v>
      </c>
      <c r="I77" t="s">
        <v>21</v>
      </c>
      <c r="J77" s="9">
        <v>5003</v>
      </c>
      <c r="K77" s="9" t="s">
        <v>81</v>
      </c>
      <c r="L77" s="11">
        <v>80</v>
      </c>
      <c r="M77" s="11">
        <v>80</v>
      </c>
      <c r="N77" s="11">
        <f>Cardapio348[[#This Row],[Preço atualizado]]-Cardapio348[[#This Row],[Preço venda]]</f>
        <v>0</v>
      </c>
      <c r="O77" s="7">
        <v>0</v>
      </c>
    </row>
    <row r="78" spans="1:15" hidden="1" x14ac:dyDescent="0.3">
      <c r="A78" s="9">
        <v>9035</v>
      </c>
      <c r="B78" s="9" t="s">
        <v>99</v>
      </c>
      <c r="C78" t="s">
        <v>16</v>
      </c>
      <c r="D78">
        <v>16010000</v>
      </c>
      <c r="E78" t="s">
        <v>17</v>
      </c>
      <c r="F78" t="s">
        <v>18</v>
      </c>
      <c r="G78" t="s">
        <v>51</v>
      </c>
      <c r="H78" t="s">
        <v>86</v>
      </c>
      <c r="I78" t="s">
        <v>21</v>
      </c>
      <c r="J78" s="9">
        <v>5003</v>
      </c>
      <c r="K78" s="9" t="s">
        <v>81</v>
      </c>
      <c r="L78" s="11">
        <v>80</v>
      </c>
      <c r="M78" s="11">
        <v>80</v>
      </c>
      <c r="N78" s="11">
        <f>Cardapio348[[#This Row],[Preço atualizado]]-Cardapio348[[#This Row],[Preço venda]]</f>
        <v>0</v>
      </c>
      <c r="O78" s="7">
        <v>0</v>
      </c>
    </row>
    <row r="79" spans="1:15" hidden="1" x14ac:dyDescent="0.3">
      <c r="A79" s="9">
        <v>9036</v>
      </c>
      <c r="B79" s="9" t="s">
        <v>100</v>
      </c>
      <c r="C79" t="s">
        <v>16</v>
      </c>
      <c r="D79">
        <v>16010000</v>
      </c>
      <c r="E79" t="s">
        <v>17</v>
      </c>
      <c r="F79" t="s">
        <v>18</v>
      </c>
      <c r="G79" t="s">
        <v>51</v>
      </c>
      <c r="H79" t="s">
        <v>86</v>
      </c>
      <c r="I79" t="s">
        <v>21</v>
      </c>
      <c r="J79" s="9">
        <v>5003</v>
      </c>
      <c r="K79" s="9" t="s">
        <v>81</v>
      </c>
      <c r="L79" s="11">
        <v>80</v>
      </c>
      <c r="M79" s="11">
        <v>80</v>
      </c>
      <c r="N79" s="11">
        <f>Cardapio348[[#This Row],[Preço atualizado]]-Cardapio348[[#This Row],[Preço venda]]</f>
        <v>0</v>
      </c>
      <c r="O79" s="7">
        <v>0</v>
      </c>
    </row>
    <row r="80" spans="1:15" hidden="1" x14ac:dyDescent="0.3">
      <c r="A80" s="9">
        <v>9010</v>
      </c>
      <c r="B80" s="9" t="s">
        <v>101</v>
      </c>
      <c r="C80" t="s">
        <v>16</v>
      </c>
      <c r="D80">
        <v>5040011</v>
      </c>
      <c r="E80" t="s">
        <v>17</v>
      </c>
      <c r="F80" t="s">
        <v>18</v>
      </c>
      <c r="G80" t="s">
        <v>51</v>
      </c>
      <c r="H80" t="s">
        <v>86</v>
      </c>
      <c r="I80" t="s">
        <v>21</v>
      </c>
      <c r="J80" s="9">
        <v>5003</v>
      </c>
      <c r="K80" s="9" t="s">
        <v>81</v>
      </c>
      <c r="L80" s="11">
        <v>70</v>
      </c>
      <c r="M80" s="11">
        <v>70</v>
      </c>
      <c r="N80" s="11">
        <f>Cardapio348[[#This Row],[Preço atualizado]]-Cardapio348[[#This Row],[Preço venda]]</f>
        <v>0</v>
      </c>
      <c r="O80" s="7">
        <v>0</v>
      </c>
    </row>
    <row r="81" spans="1:15" hidden="1" x14ac:dyDescent="0.3">
      <c r="A81" s="9">
        <v>9011</v>
      </c>
      <c r="B81" s="9" t="s">
        <v>102</v>
      </c>
      <c r="C81" t="s">
        <v>16</v>
      </c>
      <c r="D81">
        <v>2023000</v>
      </c>
      <c r="E81" t="s">
        <v>17</v>
      </c>
      <c r="F81" t="s">
        <v>18</v>
      </c>
      <c r="G81" t="s">
        <v>51</v>
      </c>
      <c r="H81" t="s">
        <v>86</v>
      </c>
      <c r="I81" t="s">
        <v>21</v>
      </c>
      <c r="J81" s="9">
        <v>5003</v>
      </c>
      <c r="K81" s="9" t="s">
        <v>81</v>
      </c>
      <c r="L81" s="11">
        <v>80</v>
      </c>
      <c r="M81" s="11">
        <v>80</v>
      </c>
      <c r="N81" s="10">
        <f>Cardapio348[[#This Row],[Preço atualizado]]-Cardapio348[[#This Row],[Preço venda]]</f>
        <v>0</v>
      </c>
      <c r="O81" s="7">
        <v>0</v>
      </c>
    </row>
    <row r="82" spans="1:15" hidden="1" x14ac:dyDescent="0.3">
      <c r="A82" s="9">
        <v>9016</v>
      </c>
      <c r="B82" s="9" t="s">
        <v>103</v>
      </c>
      <c r="C82" t="s">
        <v>16</v>
      </c>
      <c r="D82">
        <v>2062990</v>
      </c>
      <c r="E82" t="s">
        <v>17</v>
      </c>
      <c r="F82" t="s">
        <v>18</v>
      </c>
      <c r="G82" t="s">
        <v>51</v>
      </c>
      <c r="H82" t="s">
        <v>86</v>
      </c>
      <c r="I82" t="s">
        <v>21</v>
      </c>
      <c r="J82" s="9">
        <v>5003</v>
      </c>
      <c r="K82" s="9" t="s">
        <v>81</v>
      </c>
      <c r="L82" s="11">
        <v>70</v>
      </c>
      <c r="M82" s="11">
        <v>70</v>
      </c>
      <c r="N82" s="11">
        <f>Cardapio348[[#This Row],[Preço atualizado]]-Cardapio348[[#This Row],[Preço venda]]</f>
        <v>0</v>
      </c>
      <c r="O82" s="7">
        <v>0</v>
      </c>
    </row>
    <row r="83" spans="1:15" hidden="1" x14ac:dyDescent="0.3">
      <c r="A83" s="9">
        <v>9022</v>
      </c>
      <c r="B83" s="9" t="s">
        <v>104</v>
      </c>
      <c r="C83" t="s">
        <v>16</v>
      </c>
      <c r="D83">
        <v>2032900</v>
      </c>
      <c r="E83" t="s">
        <v>17</v>
      </c>
      <c r="F83" t="s">
        <v>18</v>
      </c>
      <c r="G83" t="s">
        <v>51</v>
      </c>
      <c r="H83" t="s">
        <v>86</v>
      </c>
      <c r="I83" t="s">
        <v>21</v>
      </c>
      <c r="J83" s="9">
        <v>5003</v>
      </c>
      <c r="K83" s="9" t="s">
        <v>81</v>
      </c>
      <c r="L83" s="11">
        <v>90</v>
      </c>
      <c r="M83" s="11">
        <v>90</v>
      </c>
      <c r="N83" s="10">
        <f>Cardapio348[[#This Row],[Preço atualizado]]-Cardapio348[[#This Row],[Preço venda]]</f>
        <v>0</v>
      </c>
      <c r="O83" s="7">
        <v>0</v>
      </c>
    </row>
    <row r="84" spans="1:15" hidden="1" x14ac:dyDescent="0.3">
      <c r="A84" s="9">
        <v>9021</v>
      </c>
      <c r="B84" s="9" t="s">
        <v>105</v>
      </c>
      <c r="C84" s="8" t="s">
        <v>16</v>
      </c>
      <c r="D84" s="8">
        <v>2044300</v>
      </c>
      <c r="E84" s="8" t="s">
        <v>17</v>
      </c>
      <c r="F84" s="8" t="s">
        <v>18</v>
      </c>
      <c r="G84" s="8" t="s">
        <v>51</v>
      </c>
      <c r="H84" s="8" t="s">
        <v>86</v>
      </c>
      <c r="I84" s="8" t="s">
        <v>21</v>
      </c>
      <c r="J84" s="9">
        <v>5003</v>
      </c>
      <c r="K84" s="9" t="s">
        <v>81</v>
      </c>
      <c r="L84" s="11">
        <v>80</v>
      </c>
      <c r="M84" s="11">
        <v>80</v>
      </c>
      <c r="N84" s="10">
        <f>Cardapio348[[#This Row],[Preço atualizado]]-Cardapio348[[#This Row],[Preço venda]]</f>
        <v>0</v>
      </c>
      <c r="O84" s="7">
        <v>0</v>
      </c>
    </row>
    <row r="85" spans="1:15" hidden="1" x14ac:dyDescent="0.3">
      <c r="A85">
        <v>3001</v>
      </c>
      <c r="B85" t="s">
        <v>106</v>
      </c>
      <c r="C85" t="s">
        <v>16</v>
      </c>
      <c r="D85">
        <v>21069090</v>
      </c>
      <c r="E85" t="s">
        <v>17</v>
      </c>
      <c r="F85" t="s">
        <v>18</v>
      </c>
      <c r="G85" t="s">
        <v>27</v>
      </c>
      <c r="H85" t="s">
        <v>63</v>
      </c>
      <c r="I85" t="s">
        <v>21</v>
      </c>
      <c r="J85">
        <v>300</v>
      </c>
      <c r="K85" t="s">
        <v>207</v>
      </c>
      <c r="L85" s="7">
        <v>22</v>
      </c>
      <c r="M85" s="17">
        <v>24</v>
      </c>
      <c r="N85" s="7">
        <f>Cardapio348[[#This Row],[Preço atualizado]]-Cardapio348[[#This Row],[Preço venda]]</f>
        <v>2</v>
      </c>
      <c r="O85" s="7">
        <v>0</v>
      </c>
    </row>
    <row r="86" spans="1:15" hidden="1" x14ac:dyDescent="0.3">
      <c r="A86">
        <v>3002</v>
      </c>
      <c r="B86" t="s">
        <v>107</v>
      </c>
      <c r="C86" t="s">
        <v>16</v>
      </c>
      <c r="D86">
        <v>21069090</v>
      </c>
      <c r="E86" t="s">
        <v>17</v>
      </c>
      <c r="F86" t="s">
        <v>18</v>
      </c>
      <c r="G86" t="s">
        <v>27</v>
      </c>
      <c r="H86" t="s">
        <v>63</v>
      </c>
      <c r="I86" t="s">
        <v>21</v>
      </c>
      <c r="J86">
        <v>300</v>
      </c>
      <c r="K86" t="s">
        <v>207</v>
      </c>
      <c r="L86" s="7">
        <v>22</v>
      </c>
      <c r="M86" s="17">
        <v>24</v>
      </c>
      <c r="N86" s="7">
        <f>Cardapio348[[#This Row],[Preço atualizado]]-Cardapio348[[#This Row],[Preço venda]]</f>
        <v>2</v>
      </c>
      <c r="O86" s="7">
        <v>0</v>
      </c>
    </row>
    <row r="87" spans="1:15" hidden="1" x14ac:dyDescent="0.3">
      <c r="A87">
        <v>3003</v>
      </c>
      <c r="B87" t="s">
        <v>108</v>
      </c>
      <c r="C87" t="s">
        <v>16</v>
      </c>
      <c r="D87">
        <v>21069090</v>
      </c>
      <c r="E87" t="s">
        <v>17</v>
      </c>
      <c r="F87" t="s">
        <v>18</v>
      </c>
      <c r="G87" t="s">
        <v>27</v>
      </c>
      <c r="H87" t="s">
        <v>63</v>
      </c>
      <c r="I87" t="s">
        <v>21</v>
      </c>
      <c r="J87">
        <v>300</v>
      </c>
      <c r="K87" t="s">
        <v>207</v>
      </c>
      <c r="L87" s="7">
        <v>22</v>
      </c>
      <c r="M87" s="17">
        <v>24</v>
      </c>
      <c r="N87" s="7">
        <f>Cardapio348[[#This Row],[Preço atualizado]]-Cardapio348[[#This Row],[Preço venda]]</f>
        <v>2</v>
      </c>
      <c r="O87" s="7">
        <v>0</v>
      </c>
    </row>
    <row r="88" spans="1:15" hidden="1" x14ac:dyDescent="0.3">
      <c r="A88">
        <v>3004</v>
      </c>
      <c r="B88" t="s">
        <v>109</v>
      </c>
      <c r="C88" t="s">
        <v>16</v>
      </c>
      <c r="D88">
        <v>21069090</v>
      </c>
      <c r="E88" t="s">
        <v>17</v>
      </c>
      <c r="F88" t="s">
        <v>18</v>
      </c>
      <c r="G88" t="s">
        <v>27</v>
      </c>
      <c r="H88" t="s">
        <v>63</v>
      </c>
      <c r="I88" t="s">
        <v>21</v>
      </c>
      <c r="J88">
        <v>300</v>
      </c>
      <c r="K88" t="s">
        <v>207</v>
      </c>
      <c r="L88" s="7">
        <v>22</v>
      </c>
      <c r="M88" s="17">
        <v>24</v>
      </c>
      <c r="N88" s="7">
        <f>Cardapio348[[#This Row],[Preço atualizado]]-Cardapio348[[#This Row],[Preço venda]]</f>
        <v>2</v>
      </c>
      <c r="O88" s="7">
        <v>0</v>
      </c>
    </row>
    <row r="89" spans="1:15" hidden="1" x14ac:dyDescent="0.3">
      <c r="A89">
        <v>3005</v>
      </c>
      <c r="B89" t="s">
        <v>110</v>
      </c>
      <c r="C89" t="s">
        <v>16</v>
      </c>
      <c r="D89">
        <v>21069090</v>
      </c>
      <c r="E89" t="s">
        <v>17</v>
      </c>
      <c r="F89" t="s">
        <v>18</v>
      </c>
      <c r="G89" t="s">
        <v>27</v>
      </c>
      <c r="H89" t="s">
        <v>63</v>
      </c>
      <c r="I89" t="s">
        <v>21</v>
      </c>
      <c r="J89">
        <v>300</v>
      </c>
      <c r="K89" t="s">
        <v>207</v>
      </c>
      <c r="L89" s="7">
        <v>22</v>
      </c>
      <c r="M89" s="17">
        <v>24</v>
      </c>
      <c r="N89" s="7">
        <f>Cardapio348[[#This Row],[Preço atualizado]]-Cardapio348[[#This Row],[Preço venda]]</f>
        <v>2</v>
      </c>
      <c r="O89" s="7">
        <v>0</v>
      </c>
    </row>
    <row r="90" spans="1:15" hidden="1" x14ac:dyDescent="0.3">
      <c r="A90">
        <v>3006</v>
      </c>
      <c r="B90" t="s">
        <v>111</v>
      </c>
      <c r="C90" t="s">
        <v>16</v>
      </c>
      <c r="D90">
        <v>21069090</v>
      </c>
      <c r="E90" t="s">
        <v>17</v>
      </c>
      <c r="F90" t="s">
        <v>18</v>
      </c>
      <c r="G90" t="s">
        <v>27</v>
      </c>
      <c r="H90" t="s">
        <v>63</v>
      </c>
      <c r="I90" t="s">
        <v>21</v>
      </c>
      <c r="J90">
        <v>300</v>
      </c>
      <c r="K90" t="s">
        <v>207</v>
      </c>
      <c r="L90" s="7">
        <v>22</v>
      </c>
      <c r="M90" s="17">
        <v>24</v>
      </c>
      <c r="N90" s="7">
        <f>Cardapio348[[#This Row],[Preço atualizado]]-Cardapio348[[#This Row],[Preço venda]]</f>
        <v>2</v>
      </c>
      <c r="O90" s="7">
        <v>0</v>
      </c>
    </row>
    <row r="91" spans="1:15" hidden="1" x14ac:dyDescent="0.3">
      <c r="A91">
        <v>3007</v>
      </c>
      <c r="B91" t="s">
        <v>112</v>
      </c>
      <c r="C91" t="s">
        <v>16</v>
      </c>
      <c r="D91">
        <v>21069090</v>
      </c>
      <c r="E91" t="s">
        <v>17</v>
      </c>
      <c r="F91" t="s">
        <v>18</v>
      </c>
      <c r="G91" t="s">
        <v>27</v>
      </c>
      <c r="H91" t="s">
        <v>63</v>
      </c>
      <c r="I91" t="s">
        <v>21</v>
      </c>
      <c r="J91">
        <v>300</v>
      </c>
      <c r="K91" t="s">
        <v>207</v>
      </c>
      <c r="L91" s="7">
        <v>50</v>
      </c>
      <c r="M91" s="17">
        <v>55</v>
      </c>
      <c r="N91" s="7">
        <f>Cardapio348[[#This Row],[Preço atualizado]]-Cardapio348[[#This Row],[Preço venda]]</f>
        <v>5</v>
      </c>
      <c r="O91" s="7">
        <v>0</v>
      </c>
    </row>
    <row r="92" spans="1:15" hidden="1" x14ac:dyDescent="0.3">
      <c r="A92">
        <v>3008</v>
      </c>
      <c r="B92" t="s">
        <v>113</v>
      </c>
      <c r="C92" t="s">
        <v>16</v>
      </c>
      <c r="D92">
        <v>21069090</v>
      </c>
      <c r="E92" t="s">
        <v>17</v>
      </c>
      <c r="F92" t="s">
        <v>18</v>
      </c>
      <c r="G92" t="s">
        <v>27</v>
      </c>
      <c r="H92" t="s">
        <v>63</v>
      </c>
      <c r="I92" t="s">
        <v>21</v>
      </c>
      <c r="J92">
        <v>300</v>
      </c>
      <c r="K92" t="s">
        <v>207</v>
      </c>
      <c r="L92" s="7">
        <v>50</v>
      </c>
      <c r="M92" s="17">
        <v>55</v>
      </c>
      <c r="N92" s="7">
        <f>Cardapio348[[#This Row],[Preço atualizado]]-Cardapio348[[#This Row],[Preço venda]]</f>
        <v>5</v>
      </c>
      <c r="O92" s="7">
        <v>0</v>
      </c>
    </row>
    <row r="93" spans="1:15" hidden="1" x14ac:dyDescent="0.3">
      <c r="A93">
        <v>3009</v>
      </c>
      <c r="B93" t="s">
        <v>114</v>
      </c>
      <c r="C93" t="s">
        <v>16</v>
      </c>
      <c r="D93">
        <v>21069090</v>
      </c>
      <c r="E93" t="s">
        <v>17</v>
      </c>
      <c r="F93" t="s">
        <v>18</v>
      </c>
      <c r="G93" t="s">
        <v>27</v>
      </c>
      <c r="H93" t="s">
        <v>63</v>
      </c>
      <c r="I93" t="s">
        <v>21</v>
      </c>
      <c r="J93">
        <v>300</v>
      </c>
      <c r="K93" t="s">
        <v>207</v>
      </c>
      <c r="L93" s="7">
        <v>50</v>
      </c>
      <c r="M93" s="17">
        <v>55</v>
      </c>
      <c r="N93" s="7">
        <f>Cardapio348[[#This Row],[Preço atualizado]]-Cardapio348[[#This Row],[Preço venda]]</f>
        <v>5</v>
      </c>
      <c r="O93" s="7">
        <v>0</v>
      </c>
    </row>
    <row r="94" spans="1:15" x14ac:dyDescent="0.3">
      <c r="A94">
        <v>4018</v>
      </c>
      <c r="B94" t="s">
        <v>222</v>
      </c>
      <c r="J94">
        <v>601</v>
      </c>
      <c r="K94" t="s">
        <v>203</v>
      </c>
      <c r="L94" s="7">
        <v>0</v>
      </c>
      <c r="M94" s="7">
        <v>0</v>
      </c>
      <c r="N94" s="7">
        <f>Cardapio348[[#This Row],[Preço atualizado]]-Cardapio348[[#This Row],[Preço venda]]</f>
        <v>0</v>
      </c>
      <c r="O94" s="7">
        <v>0</v>
      </c>
    </row>
    <row r="95" spans="1:15" x14ac:dyDescent="0.3">
      <c r="A95" s="8">
        <v>4520</v>
      </c>
      <c r="B95" s="8" t="s">
        <v>223</v>
      </c>
      <c r="J95" s="8">
        <v>601</v>
      </c>
      <c r="K95" s="8" t="s">
        <v>203</v>
      </c>
      <c r="L95" s="12"/>
      <c r="M95" s="12"/>
      <c r="N95" s="12">
        <f>Cardapio348[[#This Row],[Preço atualizado]]-Cardapio348[[#This Row],[Preço venda]]</f>
        <v>0</v>
      </c>
      <c r="O95" s="12">
        <v>0</v>
      </c>
    </row>
    <row r="96" spans="1:15" x14ac:dyDescent="0.3">
      <c r="A96">
        <v>4013</v>
      </c>
      <c r="B96" t="s">
        <v>115</v>
      </c>
      <c r="C96" t="s">
        <v>16</v>
      </c>
      <c r="D96">
        <v>21069090</v>
      </c>
      <c r="E96" t="s">
        <v>17</v>
      </c>
      <c r="F96" t="s">
        <v>18</v>
      </c>
      <c r="G96" t="s">
        <v>27</v>
      </c>
      <c r="H96" t="s">
        <v>63</v>
      </c>
      <c r="I96" t="s">
        <v>21</v>
      </c>
      <c r="J96">
        <v>600</v>
      </c>
      <c r="K96" t="s">
        <v>208</v>
      </c>
      <c r="L96" s="7">
        <v>0</v>
      </c>
      <c r="M96" s="6">
        <v>0</v>
      </c>
      <c r="N96" s="7">
        <f>Cardapio348[[#This Row],[Preço atualizado]]-Cardapio348[[#This Row],[Preço venda]]</f>
        <v>0</v>
      </c>
      <c r="O96" s="7">
        <v>0</v>
      </c>
    </row>
    <row r="97" spans="1:15" x14ac:dyDescent="0.3">
      <c r="A97">
        <v>4020</v>
      </c>
      <c r="B97" t="s">
        <v>116</v>
      </c>
      <c r="C97" t="s">
        <v>16</v>
      </c>
      <c r="D97">
        <v>21069090</v>
      </c>
      <c r="E97" t="s">
        <v>17</v>
      </c>
      <c r="F97" t="s">
        <v>18</v>
      </c>
      <c r="G97" t="s">
        <v>27</v>
      </c>
      <c r="H97" t="s">
        <v>63</v>
      </c>
      <c r="I97" t="s">
        <v>21</v>
      </c>
      <c r="J97">
        <v>600</v>
      </c>
      <c r="K97" t="s">
        <v>208</v>
      </c>
      <c r="L97" s="7">
        <v>0</v>
      </c>
      <c r="M97" s="6">
        <v>0</v>
      </c>
      <c r="N97" s="7">
        <f>Cardapio348[[#This Row],[Preço atualizado]]-Cardapio348[[#This Row],[Preço venda]]</f>
        <v>0</v>
      </c>
      <c r="O97" s="7">
        <v>0</v>
      </c>
    </row>
    <row r="98" spans="1:15" x14ac:dyDescent="0.3">
      <c r="A98">
        <v>4012</v>
      </c>
      <c r="B98" t="s">
        <v>117</v>
      </c>
      <c r="C98" t="s">
        <v>16</v>
      </c>
      <c r="D98">
        <v>21069090</v>
      </c>
      <c r="E98" t="s">
        <v>17</v>
      </c>
      <c r="F98" t="s">
        <v>18</v>
      </c>
      <c r="G98" t="s">
        <v>27</v>
      </c>
      <c r="H98" t="s">
        <v>63</v>
      </c>
      <c r="I98" t="s">
        <v>21</v>
      </c>
      <c r="J98">
        <v>600</v>
      </c>
      <c r="K98" t="s">
        <v>208</v>
      </c>
      <c r="L98" s="7">
        <v>16</v>
      </c>
      <c r="M98" s="6">
        <v>16</v>
      </c>
      <c r="N98" s="7">
        <f>Cardapio348[[#This Row],[Preço atualizado]]-Cardapio348[[#This Row],[Preço venda]]</f>
        <v>0</v>
      </c>
      <c r="O98" s="7">
        <v>0</v>
      </c>
    </row>
    <row r="99" spans="1:15" x14ac:dyDescent="0.3">
      <c r="A99">
        <v>4514</v>
      </c>
      <c r="B99" t="s">
        <v>118</v>
      </c>
      <c r="C99" t="s">
        <v>16</v>
      </c>
      <c r="D99">
        <v>21069090</v>
      </c>
      <c r="E99" t="s">
        <v>17</v>
      </c>
      <c r="F99" t="s">
        <v>18</v>
      </c>
      <c r="G99" t="s">
        <v>27</v>
      </c>
      <c r="H99" t="s">
        <v>20</v>
      </c>
      <c r="I99" t="s">
        <v>21</v>
      </c>
      <c r="J99">
        <v>600</v>
      </c>
      <c r="K99" t="s">
        <v>208</v>
      </c>
      <c r="L99" s="7">
        <v>32</v>
      </c>
      <c r="M99" s="6">
        <v>32</v>
      </c>
      <c r="N99" s="7">
        <f>Cardapio348[[#This Row],[Preço atualizado]]-Cardapio348[[#This Row],[Preço venda]]</f>
        <v>0</v>
      </c>
      <c r="O99" s="7">
        <v>0</v>
      </c>
    </row>
    <row r="100" spans="1:15" x14ac:dyDescent="0.3">
      <c r="A100">
        <v>4001</v>
      </c>
      <c r="B100" t="s">
        <v>119</v>
      </c>
      <c r="C100" t="s">
        <v>16</v>
      </c>
      <c r="D100">
        <v>21069090</v>
      </c>
      <c r="E100" t="s">
        <v>17</v>
      </c>
      <c r="F100" t="s">
        <v>18</v>
      </c>
      <c r="G100" t="s">
        <v>27</v>
      </c>
      <c r="H100" t="s">
        <v>63</v>
      </c>
      <c r="I100" t="s">
        <v>21</v>
      </c>
      <c r="J100">
        <v>600</v>
      </c>
      <c r="K100" t="s">
        <v>208</v>
      </c>
      <c r="L100" s="7">
        <v>33</v>
      </c>
      <c r="M100" s="6">
        <v>33</v>
      </c>
      <c r="N100" s="7">
        <f>Cardapio348[[#This Row],[Preço atualizado]]-Cardapio348[[#This Row],[Preço venda]]</f>
        <v>0</v>
      </c>
      <c r="O100" s="7">
        <v>0</v>
      </c>
    </row>
    <row r="101" spans="1:15" x14ac:dyDescent="0.3">
      <c r="A101">
        <v>4515</v>
      </c>
      <c r="B101" t="s">
        <v>120</v>
      </c>
      <c r="C101" t="s">
        <v>16</v>
      </c>
      <c r="D101">
        <v>21069090</v>
      </c>
      <c r="E101" t="s">
        <v>17</v>
      </c>
      <c r="F101" t="s">
        <v>18</v>
      </c>
      <c r="G101" t="s">
        <v>27</v>
      </c>
      <c r="H101" t="s">
        <v>20</v>
      </c>
      <c r="I101" t="s">
        <v>21</v>
      </c>
      <c r="J101">
        <v>600</v>
      </c>
      <c r="K101" t="s">
        <v>208</v>
      </c>
      <c r="L101" s="7">
        <v>33</v>
      </c>
      <c r="M101" s="6">
        <v>33</v>
      </c>
      <c r="N101" s="7">
        <f>Cardapio348[[#This Row],[Preço atualizado]]-Cardapio348[[#This Row],[Preço venda]]</f>
        <v>0</v>
      </c>
      <c r="O101" s="7">
        <v>0</v>
      </c>
    </row>
    <row r="102" spans="1:15" x14ac:dyDescent="0.3">
      <c r="A102">
        <v>4014</v>
      </c>
      <c r="B102" t="s">
        <v>121</v>
      </c>
      <c r="C102" t="s">
        <v>16</v>
      </c>
      <c r="D102">
        <v>21069090</v>
      </c>
      <c r="E102" t="s">
        <v>17</v>
      </c>
      <c r="F102" t="s">
        <v>18</v>
      </c>
      <c r="G102" t="s">
        <v>27</v>
      </c>
      <c r="H102" t="s">
        <v>63</v>
      </c>
      <c r="I102" t="s">
        <v>21</v>
      </c>
      <c r="J102">
        <v>600</v>
      </c>
      <c r="K102" t="s">
        <v>208</v>
      </c>
      <c r="L102" s="7">
        <v>58</v>
      </c>
      <c r="M102" s="6">
        <v>58</v>
      </c>
      <c r="N102" s="7">
        <f>Cardapio348[[#This Row],[Preço atualizado]]-Cardapio348[[#This Row],[Preço venda]]</f>
        <v>0</v>
      </c>
      <c r="O102" s="7">
        <v>0</v>
      </c>
    </row>
    <row r="103" spans="1:15" x14ac:dyDescent="0.3">
      <c r="A103">
        <v>4007</v>
      </c>
      <c r="B103" t="s">
        <v>122</v>
      </c>
      <c r="C103" t="s">
        <v>16</v>
      </c>
      <c r="D103">
        <v>21069090</v>
      </c>
      <c r="E103" t="s">
        <v>17</v>
      </c>
      <c r="F103" t="s">
        <v>18</v>
      </c>
      <c r="G103" t="s">
        <v>27</v>
      </c>
      <c r="H103" t="s">
        <v>63</v>
      </c>
      <c r="I103" t="s">
        <v>21</v>
      </c>
      <c r="J103">
        <v>600</v>
      </c>
      <c r="K103" t="s">
        <v>208</v>
      </c>
      <c r="L103" s="7">
        <v>78</v>
      </c>
      <c r="M103" s="6">
        <v>82</v>
      </c>
      <c r="N103" s="7">
        <f>Cardapio348[[#This Row],[Preço atualizado]]-Cardapio348[[#This Row],[Preço venda]]</f>
        <v>4</v>
      </c>
      <c r="O103" s="7">
        <v>0</v>
      </c>
    </row>
    <row r="104" spans="1:15" x14ac:dyDescent="0.3">
      <c r="A104">
        <v>4019</v>
      </c>
      <c r="B104" t="s">
        <v>123</v>
      </c>
      <c r="C104" t="s">
        <v>16</v>
      </c>
      <c r="D104">
        <v>21069090</v>
      </c>
      <c r="E104" t="s">
        <v>17</v>
      </c>
      <c r="F104" t="s">
        <v>18</v>
      </c>
      <c r="G104" t="s">
        <v>27</v>
      </c>
      <c r="H104" t="s">
        <v>63</v>
      </c>
      <c r="I104" t="s">
        <v>21</v>
      </c>
      <c r="J104">
        <v>600</v>
      </c>
      <c r="K104" t="s">
        <v>208</v>
      </c>
      <c r="L104" s="7">
        <v>78</v>
      </c>
      <c r="M104" s="6">
        <v>82</v>
      </c>
      <c r="N104" s="7">
        <f>Cardapio348[[#This Row],[Preço atualizado]]-Cardapio348[[#This Row],[Preço venda]]</f>
        <v>4</v>
      </c>
      <c r="O104" s="7">
        <v>0</v>
      </c>
    </row>
    <row r="105" spans="1:15" x14ac:dyDescent="0.3">
      <c r="A105">
        <v>4517</v>
      </c>
      <c r="B105" t="s">
        <v>124</v>
      </c>
      <c r="C105" t="s">
        <v>16</v>
      </c>
      <c r="D105">
        <v>21069090</v>
      </c>
      <c r="E105" t="s">
        <v>17</v>
      </c>
      <c r="F105" t="s">
        <v>18</v>
      </c>
      <c r="G105" t="s">
        <v>27</v>
      </c>
      <c r="H105" t="s">
        <v>63</v>
      </c>
      <c r="I105" t="s">
        <v>21</v>
      </c>
      <c r="J105">
        <v>600</v>
      </c>
      <c r="K105" t="s">
        <v>208</v>
      </c>
      <c r="L105" s="7">
        <v>78</v>
      </c>
      <c r="M105" s="6">
        <v>82</v>
      </c>
      <c r="N105" s="7">
        <f>Cardapio348[[#This Row],[Preço atualizado]]-Cardapio348[[#This Row],[Preço venda]]</f>
        <v>4</v>
      </c>
      <c r="O105" s="7">
        <v>0</v>
      </c>
    </row>
    <row r="106" spans="1:15" x14ac:dyDescent="0.3">
      <c r="A106">
        <v>4519</v>
      </c>
      <c r="B106" t="s">
        <v>125</v>
      </c>
      <c r="C106" t="s">
        <v>16</v>
      </c>
      <c r="D106">
        <v>21069090</v>
      </c>
      <c r="E106" t="s">
        <v>17</v>
      </c>
      <c r="F106" t="s">
        <v>18</v>
      </c>
      <c r="G106" t="s">
        <v>27</v>
      </c>
      <c r="H106" t="s">
        <v>20</v>
      </c>
      <c r="I106" t="s">
        <v>21</v>
      </c>
      <c r="J106">
        <v>600</v>
      </c>
      <c r="K106" t="s">
        <v>208</v>
      </c>
      <c r="L106" s="7">
        <v>82</v>
      </c>
      <c r="M106" s="6">
        <v>82</v>
      </c>
      <c r="N106" s="7">
        <f>Cardapio348[[#This Row],[Preço atualizado]]-Cardapio348[[#This Row],[Preço venda]]</f>
        <v>0</v>
      </c>
      <c r="O106" s="7">
        <v>0</v>
      </c>
    </row>
    <row r="107" spans="1:15" x14ac:dyDescent="0.3">
      <c r="A107">
        <v>4010</v>
      </c>
      <c r="B107" t="s">
        <v>126</v>
      </c>
      <c r="C107" t="s">
        <v>16</v>
      </c>
      <c r="D107">
        <v>21069090</v>
      </c>
      <c r="E107" t="s">
        <v>17</v>
      </c>
      <c r="F107" t="s">
        <v>18</v>
      </c>
      <c r="G107" t="s">
        <v>27</v>
      </c>
      <c r="H107" t="s">
        <v>63</v>
      </c>
      <c r="I107" t="s">
        <v>21</v>
      </c>
      <c r="J107">
        <v>600</v>
      </c>
      <c r="K107" t="s">
        <v>208</v>
      </c>
      <c r="L107" s="7">
        <v>96</v>
      </c>
      <c r="M107" s="6">
        <v>96</v>
      </c>
      <c r="N107" s="7">
        <f>Cardapio348[[#This Row],[Preço atualizado]]-Cardapio348[[#This Row],[Preço venda]]</f>
        <v>0</v>
      </c>
      <c r="O107" s="7">
        <v>0</v>
      </c>
    </row>
    <row r="108" spans="1:15" x14ac:dyDescent="0.3">
      <c r="A108">
        <v>4021</v>
      </c>
      <c r="B108" t="s">
        <v>127</v>
      </c>
      <c r="C108" t="s">
        <v>16</v>
      </c>
      <c r="D108">
        <v>21069090</v>
      </c>
      <c r="E108" t="s">
        <v>17</v>
      </c>
      <c r="F108" t="s">
        <v>18</v>
      </c>
      <c r="G108" t="s">
        <v>27</v>
      </c>
      <c r="H108" t="s">
        <v>63</v>
      </c>
      <c r="I108" t="s">
        <v>21</v>
      </c>
      <c r="J108">
        <v>600</v>
      </c>
      <c r="K108" t="s">
        <v>208</v>
      </c>
      <c r="L108" s="7">
        <v>98</v>
      </c>
      <c r="M108" s="6">
        <v>98</v>
      </c>
      <c r="N108" s="7">
        <f>Cardapio348[[#This Row],[Preço atualizado]]-Cardapio348[[#This Row],[Preço venda]]</f>
        <v>0</v>
      </c>
      <c r="O108" s="7">
        <v>0</v>
      </c>
    </row>
    <row r="109" spans="1:15" x14ac:dyDescent="0.3">
      <c r="A109">
        <v>4008</v>
      </c>
      <c r="B109" t="s">
        <v>128</v>
      </c>
      <c r="C109" t="s">
        <v>16</v>
      </c>
      <c r="D109">
        <v>21069090</v>
      </c>
      <c r="E109" t="s">
        <v>17</v>
      </c>
      <c r="F109" t="s">
        <v>18</v>
      </c>
      <c r="G109" t="s">
        <v>27</v>
      </c>
      <c r="H109" t="s">
        <v>63</v>
      </c>
      <c r="I109" t="s">
        <v>21</v>
      </c>
      <c r="J109">
        <v>600</v>
      </c>
      <c r="K109" t="s">
        <v>208</v>
      </c>
      <c r="L109" s="7">
        <v>108</v>
      </c>
      <c r="M109" s="6">
        <v>112</v>
      </c>
      <c r="N109" s="7">
        <f>Cardapio348[[#This Row],[Preço atualizado]]-Cardapio348[[#This Row],[Preço venda]]</f>
        <v>4</v>
      </c>
      <c r="O109" s="7">
        <v>0</v>
      </c>
    </row>
    <row r="110" spans="1:15" x14ac:dyDescent="0.3">
      <c r="A110">
        <v>4004</v>
      </c>
      <c r="B110" t="s">
        <v>129</v>
      </c>
      <c r="C110" t="s">
        <v>16</v>
      </c>
      <c r="D110">
        <v>21069090</v>
      </c>
      <c r="E110" t="s">
        <v>17</v>
      </c>
      <c r="F110" t="s">
        <v>18</v>
      </c>
      <c r="G110" t="s">
        <v>27</v>
      </c>
      <c r="H110" t="s">
        <v>63</v>
      </c>
      <c r="I110" t="s">
        <v>21</v>
      </c>
      <c r="J110">
        <v>600</v>
      </c>
      <c r="K110" t="s">
        <v>208</v>
      </c>
      <c r="L110" s="7">
        <v>126</v>
      </c>
      <c r="M110" s="6">
        <v>126</v>
      </c>
      <c r="N110" s="7">
        <f>Cardapio348[[#This Row],[Preço atualizado]]-Cardapio348[[#This Row],[Preço venda]]</f>
        <v>0</v>
      </c>
      <c r="O110" s="7">
        <v>0</v>
      </c>
    </row>
    <row r="111" spans="1:15" x14ac:dyDescent="0.3">
      <c r="A111">
        <v>4009</v>
      </c>
      <c r="B111" t="s">
        <v>130</v>
      </c>
      <c r="C111" t="s">
        <v>16</v>
      </c>
      <c r="D111">
        <v>21069090</v>
      </c>
      <c r="E111" t="s">
        <v>17</v>
      </c>
      <c r="F111" t="s">
        <v>18</v>
      </c>
      <c r="G111" t="s">
        <v>27</v>
      </c>
      <c r="H111" t="s">
        <v>63</v>
      </c>
      <c r="I111" t="s">
        <v>21</v>
      </c>
      <c r="J111">
        <v>600</v>
      </c>
      <c r="K111" t="s">
        <v>208</v>
      </c>
      <c r="L111" s="7">
        <v>126</v>
      </c>
      <c r="M111" s="6">
        <v>126</v>
      </c>
      <c r="N111" s="7">
        <f>Cardapio348[[#This Row],[Preço atualizado]]-Cardapio348[[#This Row],[Preço venda]]</f>
        <v>0</v>
      </c>
      <c r="O111" s="7">
        <v>0</v>
      </c>
    </row>
    <row r="112" spans="1:15" x14ac:dyDescent="0.3">
      <c r="A112">
        <v>4016</v>
      </c>
      <c r="B112" t="s">
        <v>131</v>
      </c>
      <c r="C112" t="s">
        <v>16</v>
      </c>
      <c r="D112">
        <v>21069090</v>
      </c>
      <c r="E112" t="s">
        <v>17</v>
      </c>
      <c r="F112" t="s">
        <v>18</v>
      </c>
      <c r="G112" t="s">
        <v>27</v>
      </c>
      <c r="H112" t="s">
        <v>63</v>
      </c>
      <c r="I112" t="s">
        <v>21</v>
      </c>
      <c r="J112">
        <v>600</v>
      </c>
      <c r="K112" t="s">
        <v>208</v>
      </c>
      <c r="L112" s="7">
        <v>148</v>
      </c>
      <c r="M112" s="6">
        <v>148</v>
      </c>
      <c r="N112" s="7">
        <f>Cardapio348[[#This Row],[Preço atualizado]]-Cardapio348[[#This Row],[Preço venda]]</f>
        <v>0</v>
      </c>
      <c r="O112" s="7">
        <v>0</v>
      </c>
    </row>
    <row r="113" spans="1:15" x14ac:dyDescent="0.3">
      <c r="A113">
        <v>4017</v>
      </c>
      <c r="B113" t="s">
        <v>132</v>
      </c>
      <c r="C113" t="s">
        <v>16</v>
      </c>
      <c r="D113">
        <v>21069090</v>
      </c>
      <c r="E113" t="s">
        <v>17</v>
      </c>
      <c r="F113" t="s">
        <v>18</v>
      </c>
      <c r="G113" t="s">
        <v>27</v>
      </c>
      <c r="H113" t="s">
        <v>63</v>
      </c>
      <c r="I113" t="s">
        <v>21</v>
      </c>
      <c r="J113">
        <v>600</v>
      </c>
      <c r="K113" t="s">
        <v>208</v>
      </c>
      <c r="L113" s="7">
        <v>220</v>
      </c>
      <c r="M113" s="6">
        <v>220</v>
      </c>
      <c r="N113" s="7">
        <f>Cardapio348[[#This Row],[Preço atualizado]]-Cardapio348[[#This Row],[Preço venda]]</f>
        <v>0</v>
      </c>
      <c r="O113" s="7">
        <v>0</v>
      </c>
    </row>
    <row r="114" spans="1:15" x14ac:dyDescent="0.3">
      <c r="A114">
        <v>4022</v>
      </c>
      <c r="B114" t="s">
        <v>133</v>
      </c>
      <c r="C114" t="s">
        <v>16</v>
      </c>
      <c r="D114">
        <v>21069090</v>
      </c>
      <c r="E114" t="s">
        <v>17</v>
      </c>
      <c r="F114" t="s">
        <v>18</v>
      </c>
      <c r="G114" t="s">
        <v>27</v>
      </c>
      <c r="H114" t="s">
        <v>63</v>
      </c>
      <c r="I114" t="s">
        <v>21</v>
      </c>
      <c r="J114">
        <v>604</v>
      </c>
      <c r="K114" t="s">
        <v>209</v>
      </c>
      <c r="L114" s="7">
        <v>60</v>
      </c>
      <c r="M114" s="6">
        <v>60</v>
      </c>
      <c r="N114" s="7">
        <f>Cardapio348[[#This Row],[Preço atualizado]]-Cardapio348[[#This Row],[Preço venda]]</f>
        <v>0</v>
      </c>
      <c r="O114" s="7">
        <v>0</v>
      </c>
    </row>
    <row r="115" spans="1:15" x14ac:dyDescent="0.3">
      <c r="A115">
        <v>7018</v>
      </c>
      <c r="B115" t="s">
        <v>134</v>
      </c>
      <c r="C115" t="s">
        <v>16</v>
      </c>
      <c r="D115">
        <v>21069090</v>
      </c>
      <c r="E115" t="s">
        <v>17</v>
      </c>
      <c r="F115" t="s">
        <v>18</v>
      </c>
      <c r="G115" t="s">
        <v>39</v>
      </c>
      <c r="H115" t="s">
        <v>63</v>
      </c>
      <c r="I115" t="s">
        <v>21</v>
      </c>
      <c r="J115">
        <v>604</v>
      </c>
      <c r="K115" t="s">
        <v>209</v>
      </c>
      <c r="L115" s="7">
        <v>98</v>
      </c>
      <c r="M115" s="6">
        <v>98</v>
      </c>
      <c r="N115" s="7">
        <f>Cardapio348[[#This Row],[Preço atualizado]]-Cardapio348[[#This Row],[Preço venda]]</f>
        <v>0</v>
      </c>
      <c r="O115" s="7">
        <v>0</v>
      </c>
    </row>
    <row r="116" spans="1:15" x14ac:dyDescent="0.3">
      <c r="A116">
        <v>9092</v>
      </c>
      <c r="B116" t="s">
        <v>135</v>
      </c>
      <c r="C116" t="s">
        <v>16</v>
      </c>
      <c r="D116">
        <v>21069090</v>
      </c>
      <c r="E116" t="s">
        <v>17</v>
      </c>
      <c r="F116" t="s">
        <v>18</v>
      </c>
      <c r="G116" t="s">
        <v>27</v>
      </c>
      <c r="H116" t="s">
        <v>63</v>
      </c>
      <c r="I116" t="s">
        <v>21</v>
      </c>
      <c r="J116">
        <v>604</v>
      </c>
      <c r="K116" t="s">
        <v>209</v>
      </c>
      <c r="L116" s="7">
        <v>146</v>
      </c>
      <c r="M116" s="6">
        <v>146</v>
      </c>
      <c r="N116" s="7">
        <f>Cardapio348[[#This Row],[Preço atualizado]]-Cardapio348[[#This Row],[Preço venda]]</f>
        <v>0</v>
      </c>
      <c r="O116" s="7">
        <v>0</v>
      </c>
    </row>
    <row r="117" spans="1:15" hidden="1" x14ac:dyDescent="0.3">
      <c r="A117">
        <v>1007</v>
      </c>
      <c r="B117" t="s">
        <v>137</v>
      </c>
      <c r="C117" t="s">
        <v>16</v>
      </c>
      <c r="D117">
        <v>21069090</v>
      </c>
      <c r="E117" t="s">
        <v>17</v>
      </c>
      <c r="F117" t="s">
        <v>18</v>
      </c>
      <c r="G117" t="s">
        <v>19</v>
      </c>
      <c r="H117" t="s">
        <v>63</v>
      </c>
      <c r="I117" t="s">
        <v>21</v>
      </c>
      <c r="J117">
        <v>900</v>
      </c>
      <c r="K117" t="s">
        <v>210</v>
      </c>
      <c r="L117" s="7">
        <v>5</v>
      </c>
      <c r="M117" s="6">
        <v>5</v>
      </c>
      <c r="N117" s="7">
        <f>Cardapio348[[#This Row],[Preço atualizado]]-Cardapio348[[#This Row],[Preço venda]]</f>
        <v>0</v>
      </c>
      <c r="O117" s="7">
        <v>0</v>
      </c>
    </row>
    <row r="118" spans="1:15" hidden="1" x14ac:dyDescent="0.3">
      <c r="A118">
        <v>1020</v>
      </c>
      <c r="B118" t="s">
        <v>138</v>
      </c>
      <c r="C118" t="s">
        <v>16</v>
      </c>
      <c r="D118">
        <v>21069090</v>
      </c>
      <c r="E118" t="s">
        <v>17</v>
      </c>
      <c r="F118" t="s">
        <v>18</v>
      </c>
      <c r="G118" t="s">
        <v>19</v>
      </c>
      <c r="H118" t="s">
        <v>63</v>
      </c>
      <c r="I118" t="s">
        <v>21</v>
      </c>
      <c r="J118">
        <v>900</v>
      </c>
      <c r="K118" t="s">
        <v>210</v>
      </c>
      <c r="L118" s="7">
        <v>18</v>
      </c>
      <c r="M118" s="6">
        <v>18</v>
      </c>
      <c r="N118" s="7">
        <f>Cardapio348[[#This Row],[Preço atualizado]]-Cardapio348[[#This Row],[Preço venda]]</f>
        <v>0</v>
      </c>
      <c r="O118" s="7">
        <v>0</v>
      </c>
    </row>
    <row r="119" spans="1:15" hidden="1" x14ac:dyDescent="0.3">
      <c r="A119">
        <v>1002</v>
      </c>
      <c r="B119" t="s">
        <v>139</v>
      </c>
      <c r="C119" t="s">
        <v>16</v>
      </c>
      <c r="D119">
        <v>21069090</v>
      </c>
      <c r="E119" t="s">
        <v>17</v>
      </c>
      <c r="F119" t="s">
        <v>18</v>
      </c>
      <c r="G119" t="s">
        <v>19</v>
      </c>
      <c r="H119" t="s">
        <v>63</v>
      </c>
      <c r="I119" t="s">
        <v>21</v>
      </c>
      <c r="J119">
        <v>900</v>
      </c>
      <c r="K119" t="s">
        <v>210</v>
      </c>
      <c r="L119" s="7">
        <v>35</v>
      </c>
      <c r="M119" s="6">
        <v>35</v>
      </c>
      <c r="N119" s="7">
        <f>Cardapio348[[#This Row],[Preço atualizado]]-Cardapio348[[#This Row],[Preço venda]]</f>
        <v>0</v>
      </c>
      <c r="O119" s="7">
        <v>0</v>
      </c>
    </row>
    <row r="120" spans="1:15" hidden="1" x14ac:dyDescent="0.3">
      <c r="A120">
        <v>1004</v>
      </c>
      <c r="B120" t="s">
        <v>140</v>
      </c>
      <c r="C120" t="s">
        <v>16</v>
      </c>
      <c r="D120">
        <v>21069090</v>
      </c>
      <c r="E120" t="s">
        <v>17</v>
      </c>
      <c r="F120" t="s">
        <v>18</v>
      </c>
      <c r="G120" t="s">
        <v>19</v>
      </c>
      <c r="H120" t="s">
        <v>63</v>
      </c>
      <c r="I120" t="s">
        <v>21</v>
      </c>
      <c r="J120">
        <v>900</v>
      </c>
      <c r="K120" t="s">
        <v>210</v>
      </c>
      <c r="L120" s="7">
        <v>45</v>
      </c>
      <c r="M120" s="6">
        <v>45</v>
      </c>
      <c r="N120" s="7">
        <f>Cardapio348[[#This Row],[Preço atualizado]]-Cardapio348[[#This Row],[Preço venda]]</f>
        <v>0</v>
      </c>
      <c r="O120" s="7">
        <v>0</v>
      </c>
    </row>
    <row r="121" spans="1:15" hidden="1" x14ac:dyDescent="0.3">
      <c r="A121">
        <v>1001</v>
      </c>
      <c r="B121" t="s">
        <v>141</v>
      </c>
      <c r="C121" t="s">
        <v>16</v>
      </c>
      <c r="D121">
        <v>21069090</v>
      </c>
      <c r="E121" t="s">
        <v>17</v>
      </c>
      <c r="F121" t="s">
        <v>18</v>
      </c>
      <c r="G121" t="s">
        <v>19</v>
      </c>
      <c r="H121" t="s">
        <v>63</v>
      </c>
      <c r="I121" t="s">
        <v>21</v>
      </c>
      <c r="J121">
        <v>900</v>
      </c>
      <c r="K121" t="s">
        <v>210</v>
      </c>
      <c r="L121" s="7">
        <v>52</v>
      </c>
      <c r="M121" s="6">
        <v>52</v>
      </c>
      <c r="N121" s="7">
        <f>Cardapio348[[#This Row],[Preço atualizado]]-Cardapio348[[#This Row],[Preço venda]]</f>
        <v>0</v>
      </c>
      <c r="O121" s="7">
        <v>0</v>
      </c>
    </row>
    <row r="122" spans="1:15" hidden="1" x14ac:dyDescent="0.3">
      <c r="A122">
        <v>1011</v>
      </c>
      <c r="B122" t="s">
        <v>142</v>
      </c>
      <c r="C122" t="s">
        <v>16</v>
      </c>
      <c r="D122">
        <v>21069090</v>
      </c>
      <c r="E122" t="s">
        <v>17</v>
      </c>
      <c r="F122" t="s">
        <v>18</v>
      </c>
      <c r="G122" t="s">
        <v>19</v>
      </c>
      <c r="H122" t="s">
        <v>63</v>
      </c>
      <c r="I122" t="s">
        <v>21</v>
      </c>
      <c r="J122">
        <v>900</v>
      </c>
      <c r="K122" t="s">
        <v>210</v>
      </c>
      <c r="L122" s="7">
        <v>55</v>
      </c>
      <c r="M122" s="6">
        <v>58</v>
      </c>
      <c r="N122" s="7">
        <f>Cardapio348[[#This Row],[Preço atualizado]]-Cardapio348[[#This Row],[Preço venda]]</f>
        <v>3</v>
      </c>
      <c r="O122" s="7">
        <v>0</v>
      </c>
    </row>
    <row r="123" spans="1:15" hidden="1" x14ac:dyDescent="0.3">
      <c r="A123">
        <v>1012</v>
      </c>
      <c r="B123" t="s">
        <v>143</v>
      </c>
      <c r="C123" t="s">
        <v>16</v>
      </c>
      <c r="D123">
        <v>21069090</v>
      </c>
      <c r="E123" t="s">
        <v>17</v>
      </c>
      <c r="F123" t="s">
        <v>18</v>
      </c>
      <c r="G123" t="s">
        <v>19</v>
      </c>
      <c r="H123" t="s">
        <v>63</v>
      </c>
      <c r="I123" t="s">
        <v>21</v>
      </c>
      <c r="J123">
        <v>900</v>
      </c>
      <c r="K123" t="s">
        <v>210</v>
      </c>
      <c r="L123" s="7">
        <v>55</v>
      </c>
      <c r="M123" s="6">
        <v>58</v>
      </c>
      <c r="N123" s="7">
        <f>Cardapio348[[#This Row],[Preço atualizado]]-Cardapio348[[#This Row],[Preço venda]]</f>
        <v>3</v>
      </c>
      <c r="O123" s="7">
        <v>0</v>
      </c>
    </row>
    <row r="124" spans="1:15" hidden="1" x14ac:dyDescent="0.3">
      <c r="A124">
        <v>1018</v>
      </c>
      <c r="B124" t="s">
        <v>144</v>
      </c>
      <c r="C124" t="s">
        <v>16</v>
      </c>
      <c r="D124">
        <v>21069090</v>
      </c>
      <c r="E124" t="s">
        <v>17</v>
      </c>
      <c r="F124" t="s">
        <v>18</v>
      </c>
      <c r="G124" t="s">
        <v>19</v>
      </c>
      <c r="H124" t="s">
        <v>63</v>
      </c>
      <c r="I124" t="s">
        <v>21</v>
      </c>
      <c r="J124">
        <v>900</v>
      </c>
      <c r="K124" t="s">
        <v>210</v>
      </c>
      <c r="L124" s="7">
        <v>55</v>
      </c>
      <c r="M124" s="6">
        <v>58</v>
      </c>
      <c r="N124" s="7">
        <f>Cardapio348[[#This Row],[Preço atualizado]]-Cardapio348[[#This Row],[Preço venda]]</f>
        <v>3</v>
      </c>
      <c r="O124" s="7">
        <v>0</v>
      </c>
    </row>
    <row r="125" spans="1:15" hidden="1" x14ac:dyDescent="0.3">
      <c r="A125">
        <v>1003</v>
      </c>
      <c r="B125" t="s">
        <v>145</v>
      </c>
      <c r="C125" t="s">
        <v>16</v>
      </c>
      <c r="D125">
        <v>21069090</v>
      </c>
      <c r="E125" t="s">
        <v>17</v>
      </c>
      <c r="F125" t="s">
        <v>18</v>
      </c>
      <c r="G125" t="s">
        <v>19</v>
      </c>
      <c r="H125" t="s">
        <v>63</v>
      </c>
      <c r="I125" t="s">
        <v>21</v>
      </c>
      <c r="J125">
        <v>900</v>
      </c>
      <c r="K125" t="s">
        <v>210</v>
      </c>
      <c r="L125" s="7">
        <v>58</v>
      </c>
      <c r="M125" s="6">
        <v>62</v>
      </c>
      <c r="N125" s="7">
        <f>Cardapio348[[#This Row],[Preço atualizado]]-Cardapio348[[#This Row],[Preço venda]]</f>
        <v>4</v>
      </c>
      <c r="O125" s="7">
        <v>0</v>
      </c>
    </row>
    <row r="126" spans="1:15" hidden="1" x14ac:dyDescent="0.3">
      <c r="A126">
        <v>1006</v>
      </c>
      <c r="B126" t="s">
        <v>146</v>
      </c>
      <c r="C126" t="s">
        <v>16</v>
      </c>
      <c r="D126">
        <v>21069090</v>
      </c>
      <c r="E126" t="s">
        <v>17</v>
      </c>
      <c r="F126" t="s">
        <v>18</v>
      </c>
      <c r="G126" t="s">
        <v>19</v>
      </c>
      <c r="H126" t="s">
        <v>63</v>
      </c>
      <c r="I126" t="s">
        <v>21</v>
      </c>
      <c r="J126">
        <v>900</v>
      </c>
      <c r="K126" t="s">
        <v>210</v>
      </c>
      <c r="L126" s="7">
        <v>58</v>
      </c>
      <c r="M126" s="6">
        <v>58</v>
      </c>
      <c r="N126" s="7">
        <f>Cardapio348[[#This Row],[Preço atualizado]]-Cardapio348[[#This Row],[Preço venda]]</f>
        <v>0</v>
      </c>
      <c r="O126" s="7">
        <v>0</v>
      </c>
    </row>
    <row r="127" spans="1:15" hidden="1" x14ac:dyDescent="0.3">
      <c r="A127">
        <v>1009</v>
      </c>
      <c r="B127" t="s">
        <v>147</v>
      </c>
      <c r="C127" t="s">
        <v>16</v>
      </c>
      <c r="D127">
        <v>21069090</v>
      </c>
      <c r="E127" t="s">
        <v>17</v>
      </c>
      <c r="F127" t="s">
        <v>18</v>
      </c>
      <c r="G127" t="s">
        <v>19</v>
      </c>
      <c r="H127" t="s">
        <v>63</v>
      </c>
      <c r="I127" t="s">
        <v>21</v>
      </c>
      <c r="J127">
        <v>900</v>
      </c>
      <c r="K127" t="s">
        <v>210</v>
      </c>
      <c r="L127" s="7">
        <v>58</v>
      </c>
      <c r="M127" s="6">
        <v>62</v>
      </c>
      <c r="N127" s="7">
        <f>Cardapio348[[#This Row],[Preço atualizado]]-Cardapio348[[#This Row],[Preço venda]]</f>
        <v>4</v>
      </c>
      <c r="O127" s="7">
        <v>0</v>
      </c>
    </row>
    <row r="128" spans="1:15" hidden="1" x14ac:dyDescent="0.3">
      <c r="A128">
        <v>1015</v>
      </c>
      <c r="B128" t="s">
        <v>148</v>
      </c>
      <c r="C128" t="s">
        <v>16</v>
      </c>
      <c r="D128">
        <v>21069090</v>
      </c>
      <c r="E128" t="s">
        <v>17</v>
      </c>
      <c r="F128" t="s">
        <v>18</v>
      </c>
      <c r="G128" t="s">
        <v>19</v>
      </c>
      <c r="H128" t="s">
        <v>63</v>
      </c>
      <c r="I128" t="s">
        <v>21</v>
      </c>
      <c r="J128">
        <v>900</v>
      </c>
      <c r="K128" t="s">
        <v>210</v>
      </c>
      <c r="L128" s="7">
        <v>62</v>
      </c>
      <c r="M128" s="6">
        <v>64</v>
      </c>
      <c r="N128" s="7">
        <f>Cardapio348[[#This Row],[Preço atualizado]]-Cardapio348[[#This Row],[Preço venda]]</f>
        <v>2</v>
      </c>
      <c r="O128" s="7">
        <v>0</v>
      </c>
    </row>
    <row r="129" spans="1:15" hidden="1" x14ac:dyDescent="0.3">
      <c r="A129">
        <v>1016</v>
      </c>
      <c r="B129" t="s">
        <v>149</v>
      </c>
      <c r="C129" t="s">
        <v>16</v>
      </c>
      <c r="D129">
        <v>21069090</v>
      </c>
      <c r="E129" t="s">
        <v>17</v>
      </c>
      <c r="F129" t="s">
        <v>18</v>
      </c>
      <c r="G129" t="s">
        <v>19</v>
      </c>
      <c r="H129" t="s">
        <v>63</v>
      </c>
      <c r="I129" t="s">
        <v>21</v>
      </c>
      <c r="J129">
        <v>900</v>
      </c>
      <c r="K129" t="s">
        <v>210</v>
      </c>
      <c r="L129" s="7">
        <v>62</v>
      </c>
      <c r="M129" s="6">
        <v>64</v>
      </c>
      <c r="N129" s="7">
        <f>Cardapio348[[#This Row],[Preço atualizado]]-Cardapio348[[#This Row],[Preço venda]]</f>
        <v>2</v>
      </c>
      <c r="O129" s="7">
        <v>0</v>
      </c>
    </row>
    <row r="130" spans="1:15" hidden="1" x14ac:dyDescent="0.3">
      <c r="A130">
        <v>1017</v>
      </c>
      <c r="B130" t="s">
        <v>150</v>
      </c>
      <c r="C130" t="s">
        <v>16</v>
      </c>
      <c r="D130">
        <v>21069090</v>
      </c>
      <c r="E130" t="s">
        <v>17</v>
      </c>
      <c r="F130" t="s">
        <v>18</v>
      </c>
      <c r="G130" t="s">
        <v>19</v>
      </c>
      <c r="H130" t="s">
        <v>63</v>
      </c>
      <c r="I130" t="s">
        <v>21</v>
      </c>
      <c r="J130">
        <v>900</v>
      </c>
      <c r="K130" t="s">
        <v>210</v>
      </c>
      <c r="L130" s="7">
        <v>62</v>
      </c>
      <c r="M130" s="6">
        <v>64</v>
      </c>
      <c r="N130" s="7">
        <f>Cardapio348[[#This Row],[Preço atualizado]]-Cardapio348[[#This Row],[Preço venda]]</f>
        <v>2</v>
      </c>
      <c r="O130" s="7">
        <v>0</v>
      </c>
    </row>
    <row r="131" spans="1:15" hidden="1" x14ac:dyDescent="0.3">
      <c r="A131">
        <v>1013</v>
      </c>
      <c r="B131" t="s">
        <v>151</v>
      </c>
      <c r="C131" t="s">
        <v>16</v>
      </c>
      <c r="D131">
        <v>21069090</v>
      </c>
      <c r="E131" t="s">
        <v>17</v>
      </c>
      <c r="F131" t="s">
        <v>18</v>
      </c>
      <c r="G131" t="s">
        <v>19</v>
      </c>
      <c r="H131" t="s">
        <v>63</v>
      </c>
      <c r="I131" t="s">
        <v>21</v>
      </c>
      <c r="J131">
        <v>900</v>
      </c>
      <c r="K131" t="s">
        <v>210</v>
      </c>
      <c r="L131" s="7">
        <v>63</v>
      </c>
      <c r="M131" s="6">
        <v>66</v>
      </c>
      <c r="N131" s="7">
        <f>Cardapio348[[#This Row],[Preço atualizado]]-Cardapio348[[#This Row],[Preço venda]]</f>
        <v>3</v>
      </c>
      <c r="O131" s="7">
        <v>0</v>
      </c>
    </row>
    <row r="132" spans="1:15" hidden="1" x14ac:dyDescent="0.3">
      <c r="A132">
        <v>1014</v>
      </c>
      <c r="B132" t="s">
        <v>152</v>
      </c>
      <c r="C132" t="s">
        <v>16</v>
      </c>
      <c r="D132">
        <v>21069090</v>
      </c>
      <c r="E132" t="s">
        <v>17</v>
      </c>
      <c r="F132" t="s">
        <v>18</v>
      </c>
      <c r="G132" t="s">
        <v>19</v>
      </c>
      <c r="H132" t="s">
        <v>63</v>
      </c>
      <c r="I132" t="s">
        <v>21</v>
      </c>
      <c r="J132">
        <v>900</v>
      </c>
      <c r="K132" t="s">
        <v>210</v>
      </c>
      <c r="L132" s="7">
        <v>63</v>
      </c>
      <c r="M132" s="6">
        <v>66</v>
      </c>
      <c r="N132" s="7">
        <f>Cardapio348[[#This Row],[Preço atualizado]]-Cardapio348[[#This Row],[Preço venda]]</f>
        <v>3</v>
      </c>
      <c r="O132" s="7">
        <v>0</v>
      </c>
    </row>
    <row r="133" spans="1:15" hidden="1" x14ac:dyDescent="0.3">
      <c r="A133">
        <v>1032</v>
      </c>
      <c r="B133" t="s">
        <v>153</v>
      </c>
      <c r="C133" t="s">
        <v>16</v>
      </c>
      <c r="D133">
        <v>21069090</v>
      </c>
      <c r="E133" t="s">
        <v>17</v>
      </c>
      <c r="F133" t="s">
        <v>18</v>
      </c>
      <c r="G133" t="s">
        <v>19</v>
      </c>
      <c r="H133" t="s">
        <v>63</v>
      </c>
      <c r="I133" t="s">
        <v>21</v>
      </c>
      <c r="J133">
        <v>900</v>
      </c>
      <c r="K133" t="s">
        <v>210</v>
      </c>
      <c r="L133" s="7">
        <v>72</v>
      </c>
      <c r="M133" s="6">
        <v>76</v>
      </c>
      <c r="N133" s="7">
        <f>Cardapio348[[#This Row],[Preço atualizado]]-Cardapio348[[#This Row],[Preço venda]]</f>
        <v>4</v>
      </c>
      <c r="O133" s="7">
        <v>0</v>
      </c>
    </row>
    <row r="134" spans="1:15" hidden="1" x14ac:dyDescent="0.3">
      <c r="A134">
        <v>1010</v>
      </c>
      <c r="B134" t="s">
        <v>154</v>
      </c>
      <c r="C134" t="s">
        <v>16</v>
      </c>
      <c r="D134">
        <v>21069090</v>
      </c>
      <c r="E134" t="s">
        <v>17</v>
      </c>
      <c r="F134" t="s">
        <v>18</v>
      </c>
      <c r="G134" t="s">
        <v>19</v>
      </c>
      <c r="H134" t="s">
        <v>63</v>
      </c>
      <c r="I134" t="s">
        <v>21</v>
      </c>
      <c r="J134">
        <v>900</v>
      </c>
      <c r="K134" t="s">
        <v>210</v>
      </c>
      <c r="L134" s="7">
        <v>73</v>
      </c>
      <c r="M134" s="6">
        <v>78</v>
      </c>
      <c r="N134" s="7">
        <f>Cardapio348[[#This Row],[Preço atualizado]]-Cardapio348[[#This Row],[Preço venda]]</f>
        <v>5</v>
      </c>
      <c r="O134" s="7">
        <v>0</v>
      </c>
    </row>
    <row r="135" spans="1:15" hidden="1" x14ac:dyDescent="0.3">
      <c r="A135">
        <v>6006</v>
      </c>
      <c r="B135" t="s">
        <v>155</v>
      </c>
      <c r="C135" t="s">
        <v>16</v>
      </c>
      <c r="D135">
        <v>21069090</v>
      </c>
      <c r="E135" t="s">
        <v>17</v>
      </c>
      <c r="F135" t="s">
        <v>18</v>
      </c>
      <c r="G135" t="s">
        <v>136</v>
      </c>
      <c r="H135" t="s">
        <v>20</v>
      </c>
      <c r="I135" t="s">
        <v>21</v>
      </c>
      <c r="J135">
        <v>700</v>
      </c>
      <c r="K135" t="s">
        <v>211</v>
      </c>
      <c r="L135" s="7">
        <v>132</v>
      </c>
      <c r="M135" s="6">
        <v>147</v>
      </c>
      <c r="N135" s="7">
        <f>Cardapio348[[#This Row],[Preço atualizado]]-Cardapio348[[#This Row],[Preço venda]]</f>
        <v>15</v>
      </c>
      <c r="O135" s="7">
        <v>0</v>
      </c>
    </row>
    <row r="136" spans="1:15" hidden="1" x14ac:dyDescent="0.3">
      <c r="A136">
        <v>6007</v>
      </c>
      <c r="B136" t="s">
        <v>156</v>
      </c>
      <c r="C136" t="s">
        <v>16</v>
      </c>
      <c r="D136">
        <v>21069090</v>
      </c>
      <c r="E136" t="s">
        <v>17</v>
      </c>
      <c r="F136" t="s">
        <v>18</v>
      </c>
      <c r="G136" t="s">
        <v>136</v>
      </c>
      <c r="H136" t="s">
        <v>20</v>
      </c>
      <c r="I136" t="s">
        <v>21</v>
      </c>
      <c r="J136">
        <v>700</v>
      </c>
      <c r="K136" t="s">
        <v>211</v>
      </c>
      <c r="L136" s="7">
        <v>170</v>
      </c>
      <c r="M136" s="6">
        <v>192</v>
      </c>
      <c r="N136" s="7">
        <f>Cardapio348[[#This Row],[Preço atualizado]]-Cardapio348[[#This Row],[Preço venda]]</f>
        <v>22</v>
      </c>
      <c r="O136" s="7">
        <v>0</v>
      </c>
    </row>
    <row r="137" spans="1:15" hidden="1" x14ac:dyDescent="0.3">
      <c r="A137">
        <v>6005</v>
      </c>
      <c r="B137" t="s">
        <v>157</v>
      </c>
      <c r="C137" t="s">
        <v>16</v>
      </c>
      <c r="D137">
        <v>21069090</v>
      </c>
      <c r="E137" t="s">
        <v>17</v>
      </c>
      <c r="F137" t="s">
        <v>18</v>
      </c>
      <c r="G137" t="s">
        <v>136</v>
      </c>
      <c r="H137" t="s">
        <v>63</v>
      </c>
      <c r="I137" t="s">
        <v>21</v>
      </c>
      <c r="J137">
        <v>700</v>
      </c>
      <c r="K137" t="s">
        <v>211</v>
      </c>
      <c r="L137" s="7">
        <v>172</v>
      </c>
      <c r="M137" s="6">
        <v>192</v>
      </c>
      <c r="N137" s="7">
        <f>Cardapio348[[#This Row],[Preço atualizado]]-Cardapio348[[#This Row],[Preço venda]]</f>
        <v>20</v>
      </c>
      <c r="O137" s="7">
        <v>0</v>
      </c>
    </row>
    <row r="138" spans="1:15" hidden="1" x14ac:dyDescent="0.3">
      <c r="A138">
        <v>6002</v>
      </c>
      <c r="B138" t="s">
        <v>158</v>
      </c>
      <c r="C138" t="s">
        <v>16</v>
      </c>
      <c r="D138">
        <v>21069090</v>
      </c>
      <c r="E138" t="s">
        <v>17</v>
      </c>
      <c r="F138" t="s">
        <v>18</v>
      </c>
      <c r="G138" t="s">
        <v>136</v>
      </c>
      <c r="H138" t="s">
        <v>63</v>
      </c>
      <c r="I138" t="s">
        <v>21</v>
      </c>
      <c r="J138">
        <v>700</v>
      </c>
      <c r="K138" t="s">
        <v>211</v>
      </c>
      <c r="L138" s="7">
        <v>208</v>
      </c>
      <c r="M138" s="6">
        <v>248</v>
      </c>
      <c r="N138" s="7">
        <f>Cardapio348[[#This Row],[Preço atualizado]]-Cardapio348[[#This Row],[Preço venda]]</f>
        <v>40</v>
      </c>
      <c r="O138" s="7">
        <v>0</v>
      </c>
    </row>
    <row r="139" spans="1:15" hidden="1" x14ac:dyDescent="0.3">
      <c r="A139">
        <v>7014</v>
      </c>
      <c r="B139" t="s">
        <v>159</v>
      </c>
      <c r="C139" t="s">
        <v>16</v>
      </c>
      <c r="D139">
        <v>21069090</v>
      </c>
      <c r="E139" t="s">
        <v>17</v>
      </c>
      <c r="F139" t="s">
        <v>18</v>
      </c>
      <c r="G139" t="s">
        <v>39</v>
      </c>
      <c r="H139" t="s">
        <v>63</v>
      </c>
      <c r="I139" t="s">
        <v>21</v>
      </c>
      <c r="J139">
        <v>802</v>
      </c>
      <c r="K139" t="s">
        <v>212</v>
      </c>
      <c r="L139" s="7">
        <v>0</v>
      </c>
      <c r="M139" s="6">
        <v>0</v>
      </c>
      <c r="N139" s="7">
        <f>Cardapio348[[#This Row],[Preço atualizado]]-Cardapio348[[#This Row],[Preço venda]]</f>
        <v>0</v>
      </c>
      <c r="O139" s="7">
        <v>0</v>
      </c>
    </row>
    <row r="140" spans="1:15" hidden="1" x14ac:dyDescent="0.3">
      <c r="A140">
        <v>7002</v>
      </c>
      <c r="B140" t="s">
        <v>160</v>
      </c>
      <c r="C140" t="s">
        <v>16</v>
      </c>
      <c r="D140">
        <v>21069090</v>
      </c>
      <c r="E140" t="s">
        <v>17</v>
      </c>
      <c r="F140" t="s">
        <v>18</v>
      </c>
      <c r="G140" t="s">
        <v>39</v>
      </c>
      <c r="H140" t="s">
        <v>63</v>
      </c>
      <c r="I140" t="s">
        <v>21</v>
      </c>
      <c r="J140">
        <v>802</v>
      </c>
      <c r="K140" t="s">
        <v>212</v>
      </c>
      <c r="L140" s="7">
        <v>69</v>
      </c>
      <c r="M140" s="6">
        <v>69</v>
      </c>
      <c r="N140" s="7">
        <f>Cardapio348[[#This Row],[Preço atualizado]]-Cardapio348[[#This Row],[Preço venda]]</f>
        <v>0</v>
      </c>
      <c r="O140" s="7">
        <v>0</v>
      </c>
    </row>
    <row r="141" spans="1:15" hidden="1" x14ac:dyDescent="0.3">
      <c r="A141">
        <v>7006</v>
      </c>
      <c r="B141" t="s">
        <v>161</v>
      </c>
      <c r="C141" t="s">
        <v>16</v>
      </c>
      <c r="D141">
        <v>21069090</v>
      </c>
      <c r="E141" t="s">
        <v>17</v>
      </c>
      <c r="F141" t="s">
        <v>18</v>
      </c>
      <c r="G141" t="s">
        <v>39</v>
      </c>
      <c r="H141" t="s">
        <v>63</v>
      </c>
      <c r="I141" t="s">
        <v>21</v>
      </c>
      <c r="J141">
        <v>802</v>
      </c>
      <c r="K141" t="s">
        <v>212</v>
      </c>
      <c r="L141" s="7">
        <v>69</v>
      </c>
      <c r="M141" s="6">
        <v>69</v>
      </c>
      <c r="N141" s="7">
        <f>Cardapio348[[#This Row],[Preço atualizado]]-Cardapio348[[#This Row],[Preço venda]]</f>
        <v>0</v>
      </c>
      <c r="O141" s="7">
        <v>0</v>
      </c>
    </row>
    <row r="142" spans="1:15" hidden="1" x14ac:dyDescent="0.3">
      <c r="A142">
        <v>7008</v>
      </c>
      <c r="B142" t="s">
        <v>162</v>
      </c>
      <c r="C142" t="s">
        <v>16</v>
      </c>
      <c r="D142">
        <v>21069090</v>
      </c>
      <c r="E142" t="s">
        <v>17</v>
      </c>
      <c r="F142" t="s">
        <v>18</v>
      </c>
      <c r="G142" t="s">
        <v>39</v>
      </c>
      <c r="H142" t="s">
        <v>63</v>
      </c>
      <c r="I142" t="s">
        <v>21</v>
      </c>
      <c r="J142">
        <v>802</v>
      </c>
      <c r="K142" t="s">
        <v>212</v>
      </c>
      <c r="L142" s="7">
        <v>69</v>
      </c>
      <c r="M142" s="6">
        <v>69</v>
      </c>
      <c r="N142" s="7">
        <f>Cardapio348[[#This Row],[Preço atualizado]]-Cardapio348[[#This Row],[Preço venda]]</f>
        <v>0</v>
      </c>
      <c r="O142" s="7">
        <v>0</v>
      </c>
    </row>
    <row r="143" spans="1:15" hidden="1" x14ac:dyDescent="0.3">
      <c r="A143">
        <v>7011</v>
      </c>
      <c r="B143" t="s">
        <v>163</v>
      </c>
      <c r="C143" t="s">
        <v>16</v>
      </c>
      <c r="D143">
        <v>21069090</v>
      </c>
      <c r="E143" t="s">
        <v>17</v>
      </c>
      <c r="F143" t="s">
        <v>18</v>
      </c>
      <c r="G143" t="s">
        <v>39</v>
      </c>
      <c r="H143" t="s">
        <v>63</v>
      </c>
      <c r="I143" t="s">
        <v>21</v>
      </c>
      <c r="J143">
        <v>802</v>
      </c>
      <c r="K143" t="s">
        <v>212</v>
      </c>
      <c r="L143" s="7">
        <v>69</v>
      </c>
      <c r="M143" s="6">
        <v>69</v>
      </c>
      <c r="N143" s="7">
        <f>Cardapio348[[#This Row],[Preço atualizado]]-Cardapio348[[#This Row],[Preço venda]]</f>
        <v>0</v>
      </c>
      <c r="O143" s="7">
        <v>0</v>
      </c>
    </row>
    <row r="144" spans="1:15" hidden="1" x14ac:dyDescent="0.3">
      <c r="A144">
        <v>7012</v>
      </c>
      <c r="B144" t="s">
        <v>164</v>
      </c>
      <c r="C144" t="s">
        <v>16</v>
      </c>
      <c r="D144">
        <v>21069090</v>
      </c>
      <c r="E144" t="s">
        <v>17</v>
      </c>
      <c r="F144" t="s">
        <v>18</v>
      </c>
      <c r="G144" t="s">
        <v>39</v>
      </c>
      <c r="H144" t="s">
        <v>63</v>
      </c>
      <c r="I144" t="s">
        <v>21</v>
      </c>
      <c r="J144">
        <v>802</v>
      </c>
      <c r="K144" t="s">
        <v>212</v>
      </c>
      <c r="L144" s="7">
        <v>69</v>
      </c>
      <c r="M144" s="6">
        <v>69</v>
      </c>
      <c r="N144" s="7">
        <f>Cardapio348[[#This Row],[Preço atualizado]]-Cardapio348[[#This Row],[Preço venda]]</f>
        <v>0</v>
      </c>
      <c r="O144" s="7">
        <v>0</v>
      </c>
    </row>
    <row r="145" spans="1:15" hidden="1" x14ac:dyDescent="0.3">
      <c r="A145">
        <v>7001</v>
      </c>
      <c r="B145" t="s">
        <v>165</v>
      </c>
      <c r="C145" t="s">
        <v>16</v>
      </c>
      <c r="D145">
        <v>21069090</v>
      </c>
      <c r="E145" t="s">
        <v>17</v>
      </c>
      <c r="F145" t="s">
        <v>18</v>
      </c>
      <c r="G145" t="s">
        <v>39</v>
      </c>
      <c r="H145" t="s">
        <v>63</v>
      </c>
      <c r="I145" t="s">
        <v>21</v>
      </c>
      <c r="J145">
        <v>802</v>
      </c>
      <c r="K145" t="s">
        <v>212</v>
      </c>
      <c r="L145" s="7">
        <v>78</v>
      </c>
      <c r="M145" s="6">
        <v>78</v>
      </c>
      <c r="N145" s="7">
        <f>Cardapio348[[#This Row],[Preço atualizado]]-Cardapio348[[#This Row],[Preço venda]]</f>
        <v>0</v>
      </c>
      <c r="O145" s="7">
        <v>0</v>
      </c>
    </row>
    <row r="146" spans="1:15" hidden="1" x14ac:dyDescent="0.3">
      <c r="A146">
        <v>7007</v>
      </c>
      <c r="B146" t="s">
        <v>166</v>
      </c>
      <c r="C146" t="s">
        <v>16</v>
      </c>
      <c r="D146">
        <v>21069090</v>
      </c>
      <c r="E146" t="s">
        <v>17</v>
      </c>
      <c r="F146" t="s">
        <v>18</v>
      </c>
      <c r="G146" t="s">
        <v>39</v>
      </c>
      <c r="H146" t="s">
        <v>63</v>
      </c>
      <c r="I146" t="s">
        <v>21</v>
      </c>
      <c r="J146">
        <v>802</v>
      </c>
      <c r="K146" t="s">
        <v>212</v>
      </c>
      <c r="L146" s="7">
        <v>85</v>
      </c>
      <c r="M146" s="6">
        <v>85</v>
      </c>
      <c r="N146" s="7">
        <f>Cardapio348[[#This Row],[Preço atualizado]]-Cardapio348[[#This Row],[Preço venda]]</f>
        <v>0</v>
      </c>
      <c r="O146" s="7">
        <v>0</v>
      </c>
    </row>
    <row r="147" spans="1:15" hidden="1" x14ac:dyDescent="0.3">
      <c r="A147">
        <v>7016</v>
      </c>
      <c r="B147" t="s">
        <v>167</v>
      </c>
      <c r="C147" t="s">
        <v>16</v>
      </c>
      <c r="D147">
        <v>21069090</v>
      </c>
      <c r="E147" t="s">
        <v>17</v>
      </c>
      <c r="F147" t="s">
        <v>18</v>
      </c>
      <c r="G147" t="s">
        <v>39</v>
      </c>
      <c r="H147" t="s">
        <v>63</v>
      </c>
      <c r="I147" t="s">
        <v>21</v>
      </c>
      <c r="J147">
        <v>802</v>
      </c>
      <c r="K147" t="s">
        <v>212</v>
      </c>
      <c r="L147" s="7">
        <v>85</v>
      </c>
      <c r="M147" s="6">
        <v>85</v>
      </c>
      <c r="N147" s="7">
        <f>Cardapio348[[#This Row],[Preço atualizado]]-Cardapio348[[#This Row],[Preço venda]]</f>
        <v>0</v>
      </c>
      <c r="O147" s="7">
        <v>0</v>
      </c>
    </row>
    <row r="148" spans="1:15" hidden="1" x14ac:dyDescent="0.3">
      <c r="A148">
        <v>7015</v>
      </c>
      <c r="B148" t="s">
        <v>168</v>
      </c>
      <c r="C148" t="s">
        <v>16</v>
      </c>
      <c r="D148">
        <v>21069090</v>
      </c>
      <c r="E148" t="s">
        <v>17</v>
      </c>
      <c r="F148" t="s">
        <v>18</v>
      </c>
      <c r="G148" t="s">
        <v>39</v>
      </c>
      <c r="H148" t="s">
        <v>63</v>
      </c>
      <c r="I148" t="s">
        <v>21</v>
      </c>
      <c r="J148">
        <v>802</v>
      </c>
      <c r="K148" t="s">
        <v>212</v>
      </c>
      <c r="L148" s="7">
        <v>88</v>
      </c>
      <c r="M148" s="6">
        <v>98</v>
      </c>
      <c r="N148" s="7">
        <f>Cardapio348[[#This Row],[Preço atualizado]]-Cardapio348[[#This Row],[Preço venda]]</f>
        <v>10</v>
      </c>
      <c r="O148" s="7">
        <v>0</v>
      </c>
    </row>
    <row r="149" spans="1:15" hidden="1" x14ac:dyDescent="0.3">
      <c r="A149">
        <v>7004</v>
      </c>
      <c r="B149" t="s">
        <v>169</v>
      </c>
      <c r="C149" t="s">
        <v>16</v>
      </c>
      <c r="D149">
        <v>21069090</v>
      </c>
      <c r="E149" t="s">
        <v>17</v>
      </c>
      <c r="F149" t="s">
        <v>18</v>
      </c>
      <c r="G149" t="s">
        <v>39</v>
      </c>
      <c r="H149" t="s">
        <v>63</v>
      </c>
      <c r="I149" t="s">
        <v>21</v>
      </c>
      <c r="J149">
        <v>802</v>
      </c>
      <c r="K149" t="s">
        <v>212</v>
      </c>
      <c r="L149" s="7">
        <v>88</v>
      </c>
      <c r="M149" s="6">
        <v>88</v>
      </c>
      <c r="N149" s="7">
        <f>Cardapio348[[#This Row],[Preço atualizado]]-Cardapio348[[#This Row],[Preço venda]]</f>
        <v>0</v>
      </c>
      <c r="O149" s="7">
        <v>0</v>
      </c>
    </row>
    <row r="150" spans="1:15" hidden="1" x14ac:dyDescent="0.3">
      <c r="A150">
        <v>7017</v>
      </c>
      <c r="B150" t="s">
        <v>170</v>
      </c>
      <c r="C150" t="s">
        <v>16</v>
      </c>
      <c r="D150">
        <v>21069090</v>
      </c>
      <c r="E150" t="s">
        <v>17</v>
      </c>
      <c r="F150" t="s">
        <v>18</v>
      </c>
      <c r="G150" t="s">
        <v>39</v>
      </c>
      <c r="H150" t="s">
        <v>63</v>
      </c>
      <c r="I150" t="s">
        <v>21</v>
      </c>
      <c r="J150">
        <v>802</v>
      </c>
      <c r="K150" t="s">
        <v>212</v>
      </c>
      <c r="L150" s="7">
        <v>89</v>
      </c>
      <c r="M150" s="6">
        <v>89</v>
      </c>
      <c r="N150" s="7">
        <f>Cardapio348[[#This Row],[Preço atualizado]]-Cardapio348[[#This Row],[Preço venda]]</f>
        <v>0</v>
      </c>
      <c r="O150" s="7">
        <v>0</v>
      </c>
    </row>
    <row r="151" spans="1:15" hidden="1" x14ac:dyDescent="0.3">
      <c r="A151">
        <v>7005</v>
      </c>
      <c r="B151" t="s">
        <v>171</v>
      </c>
      <c r="C151" t="s">
        <v>16</v>
      </c>
      <c r="D151">
        <v>21069090</v>
      </c>
      <c r="E151" t="s">
        <v>17</v>
      </c>
      <c r="F151" t="s">
        <v>18</v>
      </c>
      <c r="G151" t="s">
        <v>39</v>
      </c>
      <c r="H151" t="s">
        <v>63</v>
      </c>
      <c r="I151" t="s">
        <v>21</v>
      </c>
      <c r="J151">
        <v>802</v>
      </c>
      <c r="K151" t="s">
        <v>212</v>
      </c>
      <c r="L151" s="7">
        <v>95</v>
      </c>
      <c r="M151" s="6">
        <v>95</v>
      </c>
      <c r="N151" s="7">
        <f>Cardapio348[[#This Row],[Preço atualizado]]-Cardapio348[[#This Row],[Preço venda]]</f>
        <v>0</v>
      </c>
      <c r="O151" s="7">
        <v>0</v>
      </c>
    </row>
    <row r="152" spans="1:15" hidden="1" x14ac:dyDescent="0.3">
      <c r="A152">
        <v>7010</v>
      </c>
      <c r="B152" t="s">
        <v>172</v>
      </c>
      <c r="C152" t="s">
        <v>16</v>
      </c>
      <c r="D152">
        <v>21069090</v>
      </c>
      <c r="E152" t="s">
        <v>17</v>
      </c>
      <c r="F152" t="s">
        <v>18</v>
      </c>
      <c r="G152" t="s">
        <v>39</v>
      </c>
      <c r="H152" t="s">
        <v>63</v>
      </c>
      <c r="I152" t="s">
        <v>21</v>
      </c>
      <c r="J152">
        <v>802</v>
      </c>
      <c r="K152" t="s">
        <v>212</v>
      </c>
      <c r="L152" s="7">
        <v>94</v>
      </c>
      <c r="M152" s="6">
        <v>94</v>
      </c>
      <c r="N152" s="7">
        <f>Cardapio348[[#This Row],[Preço atualizado]]-Cardapio348[[#This Row],[Preço venda]]</f>
        <v>0</v>
      </c>
      <c r="O152" s="7">
        <v>0</v>
      </c>
    </row>
    <row r="153" spans="1:15" hidden="1" x14ac:dyDescent="0.3">
      <c r="A153" s="9">
        <v>8003</v>
      </c>
      <c r="B153" s="9" t="s">
        <v>173</v>
      </c>
      <c r="C153" s="9" t="s">
        <v>16</v>
      </c>
      <c r="D153" s="9">
        <v>21069090</v>
      </c>
      <c r="E153" s="9" t="s">
        <v>17</v>
      </c>
      <c r="F153" s="9" t="s">
        <v>18</v>
      </c>
      <c r="G153" s="9" t="s">
        <v>174</v>
      </c>
      <c r="H153" s="9" t="s">
        <v>63</v>
      </c>
      <c r="I153" s="9" t="s">
        <v>21</v>
      </c>
      <c r="J153" s="9">
        <v>100</v>
      </c>
      <c r="K153" s="9" t="s">
        <v>213</v>
      </c>
      <c r="L153" s="11">
        <v>0</v>
      </c>
      <c r="M153" s="10"/>
      <c r="N153" s="11">
        <f>Cardapio348[[#This Row],[Preço atualizado]]-Cardapio348[[#This Row],[Preço venda]]</f>
        <v>0</v>
      </c>
      <c r="O153" s="11">
        <v>0</v>
      </c>
    </row>
    <row r="154" spans="1:15" hidden="1" x14ac:dyDescent="0.3">
      <c r="A154" s="9">
        <v>8004</v>
      </c>
      <c r="B154" s="9" t="s">
        <v>175</v>
      </c>
      <c r="C154" s="9" t="s">
        <v>16</v>
      </c>
      <c r="D154" s="9">
        <v>21069090</v>
      </c>
      <c r="E154" s="9" t="s">
        <v>17</v>
      </c>
      <c r="F154" s="9" t="s">
        <v>18</v>
      </c>
      <c r="G154" s="9" t="s">
        <v>174</v>
      </c>
      <c r="H154" s="9" t="s">
        <v>63</v>
      </c>
      <c r="I154" s="9" t="s">
        <v>21</v>
      </c>
      <c r="J154" s="9">
        <v>100</v>
      </c>
      <c r="K154" s="9" t="s">
        <v>213</v>
      </c>
      <c r="L154" s="11">
        <v>0</v>
      </c>
      <c r="M154" s="10"/>
      <c r="N154" s="11">
        <f>Cardapio348[[#This Row],[Preço atualizado]]-Cardapio348[[#This Row],[Preço venda]]</f>
        <v>0</v>
      </c>
      <c r="O154" s="11">
        <v>0</v>
      </c>
    </row>
    <row r="155" spans="1:15" hidden="1" x14ac:dyDescent="0.3">
      <c r="A155" s="9">
        <v>8018</v>
      </c>
      <c r="B155" s="9" t="s">
        <v>176</v>
      </c>
      <c r="C155" s="9" t="s">
        <v>16</v>
      </c>
      <c r="D155" s="9">
        <v>21069090</v>
      </c>
      <c r="E155" s="9" t="s">
        <v>17</v>
      </c>
      <c r="F155" s="9" t="s">
        <v>18</v>
      </c>
      <c r="G155" s="9" t="s">
        <v>174</v>
      </c>
      <c r="H155" s="9" t="s">
        <v>63</v>
      </c>
      <c r="I155" s="9" t="s">
        <v>21</v>
      </c>
      <c r="J155" s="9">
        <v>100</v>
      </c>
      <c r="K155" s="9" t="s">
        <v>213</v>
      </c>
      <c r="L155" s="11">
        <v>0</v>
      </c>
      <c r="M155" s="10"/>
      <c r="N155" s="11">
        <f>Cardapio348[[#This Row],[Preço atualizado]]-Cardapio348[[#This Row],[Preço venda]]</f>
        <v>0</v>
      </c>
      <c r="O155" s="11">
        <v>0</v>
      </c>
    </row>
    <row r="156" spans="1:15" hidden="1" x14ac:dyDescent="0.3">
      <c r="A156">
        <v>8019</v>
      </c>
      <c r="B156" t="s">
        <v>177</v>
      </c>
      <c r="C156" t="s">
        <v>16</v>
      </c>
      <c r="D156">
        <v>21069090</v>
      </c>
      <c r="E156" t="s">
        <v>17</v>
      </c>
      <c r="F156" t="s">
        <v>18</v>
      </c>
      <c r="G156" t="s">
        <v>174</v>
      </c>
      <c r="H156" t="s">
        <v>63</v>
      </c>
      <c r="I156" t="s">
        <v>21</v>
      </c>
      <c r="J156">
        <v>100</v>
      </c>
      <c r="K156" t="s">
        <v>213</v>
      </c>
      <c r="L156" s="7">
        <v>25</v>
      </c>
      <c r="M156" s="6">
        <v>25</v>
      </c>
      <c r="N156" s="7">
        <f>Cardapio348[[#This Row],[Preço atualizado]]-Cardapio348[[#This Row],[Preço venda]]</f>
        <v>0</v>
      </c>
      <c r="O156" s="7">
        <v>0</v>
      </c>
    </row>
    <row r="157" spans="1:15" hidden="1" x14ac:dyDescent="0.3">
      <c r="A157">
        <v>8002</v>
      </c>
      <c r="B157" t="s">
        <v>178</v>
      </c>
      <c r="C157" t="s">
        <v>16</v>
      </c>
      <c r="D157">
        <v>21069090</v>
      </c>
      <c r="E157" t="s">
        <v>17</v>
      </c>
      <c r="F157" t="s">
        <v>18</v>
      </c>
      <c r="G157" t="s">
        <v>174</v>
      </c>
      <c r="H157" t="s">
        <v>63</v>
      </c>
      <c r="I157" t="s">
        <v>21</v>
      </c>
      <c r="J157">
        <v>100</v>
      </c>
      <c r="K157" t="s">
        <v>213</v>
      </c>
      <c r="L157" s="7">
        <v>31</v>
      </c>
      <c r="M157" s="6">
        <v>35</v>
      </c>
      <c r="N157" s="7">
        <f>Cardapio348[[#This Row],[Preço atualizado]]-Cardapio348[[#This Row],[Preço venda]]</f>
        <v>4</v>
      </c>
      <c r="O157" s="7">
        <v>0</v>
      </c>
    </row>
    <row r="158" spans="1:15" hidden="1" x14ac:dyDescent="0.3">
      <c r="A158">
        <v>8016</v>
      </c>
      <c r="B158" t="s">
        <v>179</v>
      </c>
      <c r="C158" t="s">
        <v>16</v>
      </c>
      <c r="D158">
        <v>21069090</v>
      </c>
      <c r="E158" t="s">
        <v>17</v>
      </c>
      <c r="F158" t="s">
        <v>18</v>
      </c>
      <c r="G158" t="s">
        <v>174</v>
      </c>
      <c r="H158" t="s">
        <v>63</v>
      </c>
      <c r="I158" t="s">
        <v>21</v>
      </c>
      <c r="J158">
        <v>100</v>
      </c>
      <c r="K158" t="s">
        <v>213</v>
      </c>
      <c r="L158" s="7">
        <v>31</v>
      </c>
      <c r="M158" s="6">
        <v>35</v>
      </c>
      <c r="N158" s="7">
        <f>Cardapio348[[#This Row],[Preço atualizado]]-Cardapio348[[#This Row],[Preço venda]]</f>
        <v>4</v>
      </c>
      <c r="O158" s="7">
        <v>0</v>
      </c>
    </row>
    <row r="159" spans="1:15" hidden="1" x14ac:dyDescent="0.3">
      <c r="A159">
        <v>8020</v>
      </c>
      <c r="B159" t="s">
        <v>180</v>
      </c>
      <c r="C159" t="s">
        <v>16</v>
      </c>
      <c r="D159">
        <v>21069090</v>
      </c>
      <c r="E159" t="s">
        <v>17</v>
      </c>
      <c r="F159" t="s">
        <v>18</v>
      </c>
      <c r="G159" t="s">
        <v>174</v>
      </c>
      <c r="H159" t="s">
        <v>63</v>
      </c>
      <c r="I159" t="s">
        <v>21</v>
      </c>
      <c r="J159">
        <v>100</v>
      </c>
      <c r="K159" t="s">
        <v>213</v>
      </c>
      <c r="L159" s="7">
        <v>31</v>
      </c>
      <c r="M159" s="6">
        <v>35</v>
      </c>
      <c r="N159" s="7">
        <f>Cardapio348[[#This Row],[Preço atualizado]]-Cardapio348[[#This Row],[Preço venda]]</f>
        <v>4</v>
      </c>
      <c r="O159" s="7">
        <v>0</v>
      </c>
    </row>
    <row r="160" spans="1:15" hidden="1" x14ac:dyDescent="0.3">
      <c r="A160">
        <v>8011</v>
      </c>
      <c r="B160" t="s">
        <v>181</v>
      </c>
      <c r="C160" t="s">
        <v>16</v>
      </c>
      <c r="D160">
        <v>21069090</v>
      </c>
      <c r="E160" t="s">
        <v>17</v>
      </c>
      <c r="F160" t="s">
        <v>18</v>
      </c>
      <c r="G160" t="s">
        <v>174</v>
      </c>
      <c r="H160" t="s">
        <v>63</v>
      </c>
      <c r="I160" t="s">
        <v>21</v>
      </c>
      <c r="J160">
        <v>100</v>
      </c>
      <c r="K160" t="s">
        <v>213</v>
      </c>
      <c r="L160" s="7">
        <v>32</v>
      </c>
      <c r="M160" s="6">
        <v>32</v>
      </c>
      <c r="N160" s="7">
        <f>Cardapio348[[#This Row],[Preço atualizado]]-Cardapio348[[#This Row],[Preço venda]]</f>
        <v>0</v>
      </c>
      <c r="O160" s="7">
        <v>0</v>
      </c>
    </row>
    <row r="161" spans="1:15" hidden="1" x14ac:dyDescent="0.3">
      <c r="A161">
        <v>8001</v>
      </c>
      <c r="B161" t="s">
        <v>182</v>
      </c>
      <c r="C161" t="s">
        <v>16</v>
      </c>
      <c r="D161">
        <v>21069090</v>
      </c>
      <c r="E161" t="s">
        <v>17</v>
      </c>
      <c r="F161" t="s">
        <v>18</v>
      </c>
      <c r="G161" t="s">
        <v>174</v>
      </c>
      <c r="H161" t="s">
        <v>63</v>
      </c>
      <c r="I161" t="s">
        <v>21</v>
      </c>
      <c r="J161">
        <v>100</v>
      </c>
      <c r="K161" t="s">
        <v>213</v>
      </c>
      <c r="L161" s="7">
        <v>33</v>
      </c>
      <c r="M161" s="6">
        <v>56</v>
      </c>
      <c r="N161" s="7">
        <f>Cardapio348[[#This Row],[Preço atualizado]]-Cardapio348[[#This Row],[Preço venda]]</f>
        <v>23</v>
      </c>
      <c r="O161" s="7">
        <v>0</v>
      </c>
    </row>
    <row r="162" spans="1:15" hidden="1" x14ac:dyDescent="0.3">
      <c r="A162">
        <v>8008</v>
      </c>
      <c r="B162" t="s">
        <v>183</v>
      </c>
      <c r="C162" t="s">
        <v>16</v>
      </c>
      <c r="D162">
        <v>21069090</v>
      </c>
      <c r="E162" t="s">
        <v>17</v>
      </c>
      <c r="F162" t="s">
        <v>18</v>
      </c>
      <c r="G162" t="s">
        <v>174</v>
      </c>
      <c r="H162" t="s">
        <v>63</v>
      </c>
      <c r="I162" t="s">
        <v>21</v>
      </c>
      <c r="J162">
        <v>100</v>
      </c>
      <c r="K162" t="s">
        <v>213</v>
      </c>
      <c r="L162" s="7">
        <v>33</v>
      </c>
      <c r="M162" s="6">
        <v>36</v>
      </c>
      <c r="N162" s="7">
        <f>Cardapio348[[#This Row],[Preço atualizado]]-Cardapio348[[#This Row],[Preço venda]]</f>
        <v>3</v>
      </c>
      <c r="O162" s="7">
        <v>0</v>
      </c>
    </row>
    <row r="163" spans="1:15" hidden="1" x14ac:dyDescent="0.3">
      <c r="A163">
        <v>8021</v>
      </c>
      <c r="B163" t="s">
        <v>184</v>
      </c>
      <c r="C163" t="s">
        <v>16</v>
      </c>
      <c r="D163">
        <v>21069090</v>
      </c>
      <c r="E163" t="s">
        <v>17</v>
      </c>
      <c r="F163" t="s">
        <v>18</v>
      </c>
      <c r="G163" t="s">
        <v>174</v>
      </c>
      <c r="H163" t="s">
        <v>20</v>
      </c>
      <c r="I163" t="s">
        <v>21</v>
      </c>
      <c r="J163">
        <v>100</v>
      </c>
      <c r="K163" t="s">
        <v>213</v>
      </c>
      <c r="L163" s="7">
        <v>35</v>
      </c>
      <c r="M163" s="6">
        <v>44</v>
      </c>
      <c r="N163" s="7">
        <f>Cardapio348[[#This Row],[Preço atualizado]]-Cardapio348[[#This Row],[Preço venda]]</f>
        <v>9</v>
      </c>
      <c r="O163" s="7">
        <v>0</v>
      </c>
    </row>
    <row r="164" spans="1:15" hidden="1" x14ac:dyDescent="0.3">
      <c r="A164">
        <v>8005</v>
      </c>
      <c r="B164" t="s">
        <v>185</v>
      </c>
      <c r="C164" t="s">
        <v>16</v>
      </c>
      <c r="D164">
        <v>21069090</v>
      </c>
      <c r="E164" t="s">
        <v>17</v>
      </c>
      <c r="F164" t="s">
        <v>18</v>
      </c>
      <c r="G164" t="s">
        <v>174</v>
      </c>
      <c r="H164" t="s">
        <v>63</v>
      </c>
      <c r="I164" t="s">
        <v>21</v>
      </c>
      <c r="J164">
        <v>100</v>
      </c>
      <c r="K164" t="s">
        <v>213</v>
      </c>
      <c r="L164" s="7">
        <v>41</v>
      </c>
      <c r="M164" s="6">
        <v>44</v>
      </c>
      <c r="N164" s="7">
        <f>Cardapio348[[#This Row],[Preço atualizado]]-Cardapio348[[#This Row],[Preço venda]]</f>
        <v>3</v>
      </c>
      <c r="O164" s="7">
        <v>0</v>
      </c>
    </row>
    <row r="165" spans="1:15" hidden="1" x14ac:dyDescent="0.3">
      <c r="A165">
        <v>8006</v>
      </c>
      <c r="B165" t="s">
        <v>186</v>
      </c>
      <c r="C165" t="s">
        <v>16</v>
      </c>
      <c r="D165">
        <v>21069090</v>
      </c>
      <c r="E165" t="s">
        <v>17</v>
      </c>
      <c r="F165" t="s">
        <v>18</v>
      </c>
      <c r="G165" t="s">
        <v>174</v>
      </c>
      <c r="H165" t="s">
        <v>63</v>
      </c>
      <c r="I165" t="s">
        <v>21</v>
      </c>
      <c r="J165">
        <v>100</v>
      </c>
      <c r="K165" t="s">
        <v>213</v>
      </c>
      <c r="L165" s="7">
        <v>41</v>
      </c>
      <c r="M165" s="6">
        <v>44</v>
      </c>
      <c r="N165" s="7">
        <f>Cardapio348[[#This Row],[Preço atualizado]]-Cardapio348[[#This Row],[Preço venda]]</f>
        <v>3</v>
      </c>
      <c r="O165" s="7">
        <v>0</v>
      </c>
    </row>
    <row r="166" spans="1:15" hidden="1" x14ac:dyDescent="0.3">
      <c r="A166">
        <v>8010</v>
      </c>
      <c r="B166" t="s">
        <v>187</v>
      </c>
      <c r="C166" t="s">
        <v>16</v>
      </c>
      <c r="D166">
        <v>21069090</v>
      </c>
      <c r="E166" t="s">
        <v>17</v>
      </c>
      <c r="F166" t="s">
        <v>18</v>
      </c>
      <c r="G166" t="s">
        <v>174</v>
      </c>
      <c r="H166" t="s">
        <v>63</v>
      </c>
      <c r="I166" t="s">
        <v>21</v>
      </c>
      <c r="J166">
        <v>100</v>
      </c>
      <c r="K166" t="s">
        <v>213</v>
      </c>
      <c r="L166" s="7">
        <v>45</v>
      </c>
      <c r="M166" s="6">
        <v>56</v>
      </c>
      <c r="N166" s="7">
        <f>Cardapio348[[#This Row],[Preço atualizado]]-Cardapio348[[#This Row],[Preço venda]]</f>
        <v>11</v>
      </c>
      <c r="O166" s="7">
        <v>0</v>
      </c>
    </row>
    <row r="167" spans="1:15" hidden="1" x14ac:dyDescent="0.3">
      <c r="A167">
        <v>8013</v>
      </c>
      <c r="B167" t="s">
        <v>188</v>
      </c>
      <c r="C167" t="s">
        <v>16</v>
      </c>
      <c r="D167">
        <v>21069090</v>
      </c>
      <c r="E167" t="s">
        <v>17</v>
      </c>
      <c r="F167" t="s">
        <v>18</v>
      </c>
      <c r="G167" t="s">
        <v>174</v>
      </c>
      <c r="H167" t="s">
        <v>63</v>
      </c>
      <c r="I167" t="s">
        <v>21</v>
      </c>
      <c r="J167">
        <v>100</v>
      </c>
      <c r="K167" t="s">
        <v>213</v>
      </c>
      <c r="L167" s="7">
        <v>47</v>
      </c>
      <c r="M167" s="6">
        <v>56</v>
      </c>
      <c r="N167" s="7">
        <f>Cardapio348[[#This Row],[Preço atualizado]]-Cardapio348[[#This Row],[Preço venda]]</f>
        <v>9</v>
      </c>
      <c r="O167" s="7">
        <v>0</v>
      </c>
    </row>
    <row r="168" spans="1:15" hidden="1" x14ac:dyDescent="0.3">
      <c r="A168">
        <v>8014</v>
      </c>
      <c r="B168" t="s">
        <v>189</v>
      </c>
      <c r="C168" t="s">
        <v>16</v>
      </c>
      <c r="D168">
        <v>21069090</v>
      </c>
      <c r="E168" t="s">
        <v>17</v>
      </c>
      <c r="F168" t="s">
        <v>18</v>
      </c>
      <c r="G168" t="s">
        <v>174</v>
      </c>
      <c r="H168" t="s">
        <v>63</v>
      </c>
      <c r="I168" t="s">
        <v>21</v>
      </c>
      <c r="J168">
        <v>100</v>
      </c>
      <c r="K168" t="s">
        <v>213</v>
      </c>
      <c r="L168" s="7">
        <v>47</v>
      </c>
      <c r="M168" s="6">
        <v>58</v>
      </c>
      <c r="N168" s="7">
        <f>Cardapio348[[#This Row],[Preço atualizado]]-Cardapio348[[#This Row],[Preço venda]]</f>
        <v>11</v>
      </c>
      <c r="O168" s="7">
        <v>0</v>
      </c>
    </row>
    <row r="169" spans="1:15" hidden="1" x14ac:dyDescent="0.3">
      <c r="A169">
        <v>8015</v>
      </c>
      <c r="B169" t="s">
        <v>190</v>
      </c>
      <c r="C169" t="s">
        <v>16</v>
      </c>
      <c r="D169">
        <v>21069090</v>
      </c>
      <c r="E169" t="s">
        <v>17</v>
      </c>
      <c r="F169" t="s">
        <v>18</v>
      </c>
      <c r="G169" t="s">
        <v>174</v>
      </c>
      <c r="H169" t="s">
        <v>63</v>
      </c>
      <c r="I169" t="s">
        <v>21</v>
      </c>
      <c r="J169">
        <v>100</v>
      </c>
      <c r="K169" t="s">
        <v>213</v>
      </c>
      <c r="L169" s="7">
        <v>47</v>
      </c>
      <c r="M169" s="6">
        <v>56</v>
      </c>
      <c r="N169" s="7">
        <f>Cardapio348[[#This Row],[Preço atualizado]]-Cardapio348[[#This Row],[Preço venda]]</f>
        <v>9</v>
      </c>
      <c r="O169" s="7">
        <v>0</v>
      </c>
    </row>
    <row r="170" spans="1:15" hidden="1" x14ac:dyDescent="0.3">
      <c r="A170">
        <v>8040</v>
      </c>
      <c r="B170" t="s">
        <v>191</v>
      </c>
      <c r="C170" t="s">
        <v>16</v>
      </c>
      <c r="D170">
        <v>21069090</v>
      </c>
      <c r="E170" t="s">
        <v>17</v>
      </c>
      <c r="F170" t="s">
        <v>18</v>
      </c>
      <c r="G170" t="s">
        <v>174</v>
      </c>
      <c r="H170" t="s">
        <v>63</v>
      </c>
      <c r="I170" t="s">
        <v>21</v>
      </c>
      <c r="J170">
        <v>100</v>
      </c>
      <c r="K170" t="s">
        <v>213</v>
      </c>
      <c r="L170" s="7">
        <v>49</v>
      </c>
      <c r="M170" s="6">
        <v>56</v>
      </c>
      <c r="N170" s="7">
        <f>Cardapio348[[#This Row],[Preço atualizado]]-Cardapio348[[#This Row],[Preço venda]]</f>
        <v>7</v>
      </c>
      <c r="O170" s="7">
        <v>0</v>
      </c>
    </row>
    <row r="171" spans="1:15" hidden="1" x14ac:dyDescent="0.3">
      <c r="A171">
        <v>8508</v>
      </c>
      <c r="B171" t="s">
        <v>192</v>
      </c>
      <c r="C171" t="s">
        <v>16</v>
      </c>
      <c r="D171">
        <v>21069090</v>
      </c>
      <c r="E171" t="s">
        <v>17</v>
      </c>
      <c r="F171" t="s">
        <v>18</v>
      </c>
      <c r="G171" t="s">
        <v>39</v>
      </c>
      <c r="H171" t="s">
        <v>20</v>
      </c>
      <c r="I171" t="s">
        <v>21</v>
      </c>
      <c r="J171">
        <v>602</v>
      </c>
      <c r="K171" t="s">
        <v>214</v>
      </c>
      <c r="L171" s="7">
        <v>44</v>
      </c>
      <c r="M171" s="6">
        <v>44</v>
      </c>
      <c r="N171" s="7">
        <f>Cardapio348[[#This Row],[Preço atualizado]]-Cardapio348[[#This Row],[Preço venda]]</f>
        <v>0</v>
      </c>
      <c r="O171" s="7">
        <v>0</v>
      </c>
    </row>
    <row r="172" spans="1:15" hidden="1" x14ac:dyDescent="0.3">
      <c r="A172">
        <v>8509</v>
      </c>
      <c r="B172" t="s">
        <v>193</v>
      </c>
      <c r="C172" t="s">
        <v>16</v>
      </c>
      <c r="D172">
        <v>21069090</v>
      </c>
      <c r="E172" t="s">
        <v>17</v>
      </c>
      <c r="F172" t="s">
        <v>18</v>
      </c>
      <c r="G172" t="s">
        <v>39</v>
      </c>
      <c r="H172" t="s">
        <v>20</v>
      </c>
      <c r="I172" t="s">
        <v>21</v>
      </c>
      <c r="J172">
        <v>602</v>
      </c>
      <c r="K172" t="s">
        <v>214</v>
      </c>
      <c r="L172" s="7">
        <v>44</v>
      </c>
      <c r="M172" s="6">
        <v>44</v>
      </c>
      <c r="N172" s="7">
        <f>Cardapio348[[#This Row],[Preço atualizado]]-Cardapio348[[#This Row],[Preço venda]]</f>
        <v>0</v>
      </c>
      <c r="O172" s="7">
        <v>0</v>
      </c>
    </row>
    <row r="173" spans="1:15" hidden="1" x14ac:dyDescent="0.3">
      <c r="A173">
        <v>8501</v>
      </c>
      <c r="B173" t="s">
        <v>194</v>
      </c>
      <c r="C173" t="s">
        <v>16</v>
      </c>
      <c r="D173">
        <v>21069090</v>
      </c>
      <c r="E173" t="s">
        <v>17</v>
      </c>
      <c r="F173" t="s">
        <v>18</v>
      </c>
      <c r="G173" t="s">
        <v>39</v>
      </c>
      <c r="H173" t="s">
        <v>63</v>
      </c>
      <c r="I173" t="s">
        <v>21</v>
      </c>
      <c r="J173">
        <v>602</v>
      </c>
      <c r="K173" t="s">
        <v>214</v>
      </c>
      <c r="L173" s="7">
        <v>48</v>
      </c>
      <c r="M173" s="6">
        <v>52</v>
      </c>
      <c r="N173" s="7">
        <f>Cardapio348[[#This Row],[Preço atualizado]]-Cardapio348[[#This Row],[Preço venda]]</f>
        <v>4</v>
      </c>
      <c r="O173" s="7">
        <v>0</v>
      </c>
    </row>
    <row r="174" spans="1:15" hidden="1" x14ac:dyDescent="0.3">
      <c r="A174">
        <v>8502</v>
      </c>
      <c r="B174" t="s">
        <v>195</v>
      </c>
      <c r="C174" t="s">
        <v>16</v>
      </c>
      <c r="D174">
        <v>21069090</v>
      </c>
      <c r="E174" t="s">
        <v>17</v>
      </c>
      <c r="F174" t="s">
        <v>18</v>
      </c>
      <c r="G174" t="s">
        <v>39</v>
      </c>
      <c r="H174" t="s">
        <v>63</v>
      </c>
      <c r="I174" t="s">
        <v>21</v>
      </c>
      <c r="J174">
        <v>602</v>
      </c>
      <c r="K174" t="s">
        <v>214</v>
      </c>
      <c r="L174" s="7">
        <v>48</v>
      </c>
      <c r="M174" s="6">
        <v>52</v>
      </c>
      <c r="N174" s="7">
        <f>Cardapio348[[#This Row],[Preço atualizado]]-Cardapio348[[#This Row],[Preço venda]]</f>
        <v>4</v>
      </c>
      <c r="O174" s="7">
        <v>0</v>
      </c>
    </row>
    <row r="175" spans="1:15" hidden="1" x14ac:dyDescent="0.3">
      <c r="A175">
        <v>8506</v>
      </c>
      <c r="B175" t="s">
        <v>196</v>
      </c>
      <c r="C175" t="s">
        <v>16</v>
      </c>
      <c r="D175">
        <v>21069090</v>
      </c>
      <c r="E175" t="s">
        <v>17</v>
      </c>
      <c r="F175" t="s">
        <v>18</v>
      </c>
      <c r="G175" t="s">
        <v>39</v>
      </c>
      <c r="H175" t="s">
        <v>63</v>
      </c>
      <c r="I175" t="s">
        <v>21</v>
      </c>
      <c r="J175">
        <v>602</v>
      </c>
      <c r="K175" t="s">
        <v>214</v>
      </c>
      <c r="L175" s="7">
        <v>48</v>
      </c>
      <c r="M175" s="6">
        <v>48</v>
      </c>
      <c r="N175" s="7">
        <f>Cardapio348[[#This Row],[Preço atualizado]]-Cardapio348[[#This Row],[Preço venda]]</f>
        <v>0</v>
      </c>
      <c r="O175" s="7">
        <v>0</v>
      </c>
    </row>
    <row r="176" spans="1:15" hidden="1" x14ac:dyDescent="0.3">
      <c r="A176">
        <v>8503</v>
      </c>
      <c r="B176" t="s">
        <v>197</v>
      </c>
      <c r="C176" t="s">
        <v>16</v>
      </c>
      <c r="D176">
        <v>21069090</v>
      </c>
      <c r="E176" t="s">
        <v>17</v>
      </c>
      <c r="F176" t="s">
        <v>18</v>
      </c>
      <c r="G176" t="s">
        <v>39</v>
      </c>
      <c r="H176" t="s">
        <v>63</v>
      </c>
      <c r="I176" t="s">
        <v>21</v>
      </c>
      <c r="J176">
        <v>602</v>
      </c>
      <c r="K176" t="s">
        <v>214</v>
      </c>
      <c r="L176" s="7">
        <v>53</v>
      </c>
      <c r="M176" s="6">
        <v>53</v>
      </c>
      <c r="N176" s="7">
        <f>Cardapio348[[#This Row],[Preço atualizado]]-Cardapio348[[#This Row],[Preço venda]]</f>
        <v>0</v>
      </c>
      <c r="O176" s="7">
        <v>0</v>
      </c>
    </row>
    <row r="177" spans="1:15" hidden="1" x14ac:dyDescent="0.3">
      <c r="A177">
        <v>8512</v>
      </c>
      <c r="B177" t="s">
        <v>198</v>
      </c>
      <c r="C177" t="s">
        <v>16</v>
      </c>
      <c r="D177">
        <v>21069090</v>
      </c>
      <c r="E177" t="s">
        <v>17</v>
      </c>
      <c r="F177" t="s">
        <v>18</v>
      </c>
      <c r="G177" t="s">
        <v>39</v>
      </c>
      <c r="H177" t="s">
        <v>20</v>
      </c>
      <c r="I177" t="s">
        <v>21</v>
      </c>
      <c r="J177">
        <v>602</v>
      </c>
      <c r="K177" t="s">
        <v>214</v>
      </c>
      <c r="L177" s="7">
        <v>65</v>
      </c>
      <c r="M177" s="6">
        <v>65</v>
      </c>
      <c r="N177" s="7">
        <f>Cardapio348[[#This Row],[Preço atualizado]]-Cardapio348[[#This Row],[Preço venda]]</f>
        <v>0</v>
      </c>
      <c r="O177" s="7">
        <v>0</v>
      </c>
    </row>
    <row r="178" spans="1:15" hidden="1" x14ac:dyDescent="0.3">
      <c r="A178">
        <v>8507</v>
      </c>
      <c r="B178" t="s">
        <v>199</v>
      </c>
      <c r="C178" t="s">
        <v>16</v>
      </c>
      <c r="D178">
        <v>21069090</v>
      </c>
      <c r="E178" t="s">
        <v>17</v>
      </c>
      <c r="F178" t="s">
        <v>18</v>
      </c>
      <c r="G178" t="s">
        <v>39</v>
      </c>
      <c r="H178" t="s">
        <v>63</v>
      </c>
      <c r="I178" t="s">
        <v>21</v>
      </c>
      <c r="J178">
        <v>602</v>
      </c>
      <c r="K178" t="s">
        <v>214</v>
      </c>
      <c r="L178" s="7">
        <v>78</v>
      </c>
      <c r="M178" s="6">
        <v>86</v>
      </c>
      <c r="N178" s="7">
        <f>Cardapio348[[#This Row],[Preço atualizado]]-Cardapio348[[#This Row],[Preço venda]]</f>
        <v>8</v>
      </c>
      <c r="O178" s="7">
        <v>0</v>
      </c>
    </row>
    <row r="179" spans="1:15" hidden="1" x14ac:dyDescent="0.3">
      <c r="A179">
        <v>8513</v>
      </c>
      <c r="B179" t="s">
        <v>200</v>
      </c>
      <c r="C179" t="s">
        <v>16</v>
      </c>
      <c r="D179">
        <v>21069090</v>
      </c>
      <c r="E179" t="s">
        <v>17</v>
      </c>
      <c r="F179" t="s">
        <v>18</v>
      </c>
      <c r="G179" t="s">
        <v>39</v>
      </c>
      <c r="H179" t="s">
        <v>63</v>
      </c>
      <c r="I179" t="s">
        <v>21</v>
      </c>
      <c r="J179">
        <v>602</v>
      </c>
      <c r="K179" t="s">
        <v>214</v>
      </c>
      <c r="L179" s="7">
        <v>102</v>
      </c>
      <c r="M179" s="6">
        <v>118</v>
      </c>
      <c r="N179" s="7">
        <f>Cardapio348[[#This Row],[Preço atualizado]]-Cardapio348[[#This Row],[Preço venda]]</f>
        <v>16</v>
      </c>
      <c r="O179" s="7">
        <v>0</v>
      </c>
    </row>
    <row r="180" spans="1:15" x14ac:dyDescent="0.3">
      <c r="A180">
        <v>4023</v>
      </c>
      <c r="B180" t="s">
        <v>201</v>
      </c>
      <c r="J180">
        <v>604</v>
      </c>
      <c r="K180" t="s">
        <v>209</v>
      </c>
      <c r="L180" s="7">
        <v>55</v>
      </c>
      <c r="M180" s="6">
        <v>55</v>
      </c>
      <c r="N180" s="7">
        <f>Cardapio348[[#This Row],[Preço atualizado]]-Cardapio348[[#This Row],[Preço venda]]</f>
        <v>0</v>
      </c>
      <c r="O180" s="7">
        <v>0</v>
      </c>
    </row>
    <row r="181" spans="1:15" hidden="1" x14ac:dyDescent="0.3">
      <c r="A181">
        <v>1630</v>
      </c>
      <c r="B181" t="s">
        <v>215</v>
      </c>
      <c r="J181">
        <v>700</v>
      </c>
      <c r="K181" t="s">
        <v>211</v>
      </c>
      <c r="L181" s="7">
        <v>210</v>
      </c>
      <c r="M181" s="7">
        <v>210</v>
      </c>
      <c r="N181" s="7">
        <f>Cardapio348[[#This Row],[Preço atualizado]]-Cardapio348[[#This Row],[Preço venda]]</f>
        <v>0</v>
      </c>
      <c r="O181" s="7">
        <v>0</v>
      </c>
    </row>
    <row r="182" spans="1:15" hidden="1" x14ac:dyDescent="0.3">
      <c r="A182">
        <v>2057</v>
      </c>
      <c r="B182" t="s">
        <v>216</v>
      </c>
      <c r="J182">
        <v>5001</v>
      </c>
      <c r="K182" t="s">
        <v>206</v>
      </c>
      <c r="L182" s="7">
        <v>208</v>
      </c>
      <c r="M182" s="7">
        <v>208</v>
      </c>
      <c r="N182" s="7">
        <f>Cardapio348[[#This Row],[Preço atualizado]]-Cardapio348[[#This Row],[Preço venda]]</f>
        <v>0</v>
      </c>
      <c r="O182" s="7">
        <v>0</v>
      </c>
    </row>
    <row r="183" spans="1:15" hidden="1" x14ac:dyDescent="0.3">
      <c r="A183" s="13">
        <v>2058</v>
      </c>
      <c r="B183" s="13" t="s">
        <v>225</v>
      </c>
      <c r="J183" s="13">
        <v>5001</v>
      </c>
      <c r="K183" s="13" t="s">
        <v>206</v>
      </c>
      <c r="L183" s="14"/>
      <c r="M183" s="14">
        <v>578</v>
      </c>
      <c r="N183" s="14">
        <f>Cardapio348[[#This Row],[Preço atualizado]]-Cardapio348[[#This Row],[Preço venda]]</f>
        <v>578</v>
      </c>
      <c r="O183" s="14" t="s">
        <v>226</v>
      </c>
    </row>
    <row r="184" spans="1:15" hidden="1" x14ac:dyDescent="0.3">
      <c r="A184" s="15">
        <v>2052</v>
      </c>
      <c r="B184" s="15" t="s">
        <v>219</v>
      </c>
      <c r="J184" s="15">
        <v>5002</v>
      </c>
      <c r="K184" s="15" t="s">
        <v>205</v>
      </c>
      <c r="L184" s="16"/>
      <c r="M184" s="16"/>
      <c r="N184" s="16">
        <f>Cardapio348[[#This Row],[Preço atualizado]]-Cardapio348[[#This Row],[Preço venda]]</f>
        <v>0</v>
      </c>
      <c r="O184" s="16" t="s">
        <v>221</v>
      </c>
    </row>
    <row r="185" spans="1:15" hidden="1" x14ac:dyDescent="0.3">
      <c r="A185" s="15">
        <v>2054</v>
      </c>
      <c r="B185" s="15" t="s">
        <v>220</v>
      </c>
      <c r="J185" s="15">
        <v>5002</v>
      </c>
      <c r="K185" s="15" t="s">
        <v>205</v>
      </c>
      <c r="L185" s="16"/>
      <c r="M185" s="16"/>
      <c r="N185" s="16">
        <f>Cardapio348[[#This Row],[Preço atualizado]]-Cardapio348[[#This Row],[Preço venda]]</f>
        <v>0</v>
      </c>
      <c r="O185" s="16" t="s">
        <v>221</v>
      </c>
    </row>
    <row r="186" spans="1:15" x14ac:dyDescent="0.3">
      <c r="A186" s="8">
        <v>4028</v>
      </c>
      <c r="B186" s="8" t="s">
        <v>224</v>
      </c>
      <c r="J186" s="8">
        <v>604</v>
      </c>
      <c r="K186" s="8" t="s">
        <v>209</v>
      </c>
      <c r="L186" s="12"/>
      <c r="M186" s="12"/>
      <c r="N186" s="12">
        <f>Cardapio348[[#This Row],[Preço atualizado]]-Cardapio348[[#This Row],[Preço venda]]</f>
        <v>0</v>
      </c>
      <c r="O186" s="12">
        <v>0</v>
      </c>
    </row>
  </sheetData>
  <phoneticPr fontId="5" type="noConversion"/>
  <pageMargins left="0.511811024" right="0.511811024" top="0.78740157499999996" bottom="0.78740157499999996" header="0.31496062000000002" footer="0.31496062000000002"/>
  <pageSetup paperSize="9" scale="65" fitToHeight="0" orientation="portrait" horizontalDpi="4294967294" verticalDpi="4294967294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6771D2B3193649A0162219028D81F4" ma:contentTypeVersion="13" ma:contentTypeDescription="Crie um novo documento." ma:contentTypeScope="" ma:versionID="d7a1222fe4b7a7efccb4d7211cd63b9f">
  <xsd:schema xmlns:xsd="http://www.w3.org/2001/XMLSchema" xmlns:xs="http://www.w3.org/2001/XMLSchema" xmlns:p="http://schemas.microsoft.com/office/2006/metadata/properties" xmlns:ns2="c7ac4577-dc17-46a5-8d18-9c7eccbc91ad" xmlns:ns3="bb347fad-eec2-4f91-9544-a215c6ebeee9" targetNamespace="http://schemas.microsoft.com/office/2006/metadata/properties" ma:root="true" ma:fieldsID="7646a7e947edb0fdc1e7d366bfd2f4d9" ns2:_="" ns3:_="">
    <xsd:import namespace="c7ac4577-dc17-46a5-8d18-9c7eccbc91ad"/>
    <xsd:import namespace="bb347fad-eec2-4f91-9544-a215c6ebe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ac4577-dc17-46a5-8d18-9c7eccbc91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0417b897-5cb4-4b0d-8e08-8c10667f0f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347fad-eec2-4f91-9544-a215c6ebeee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1ba0e31-86b9-4253-ba5e-60b5f09fa8df}" ma:internalName="TaxCatchAll" ma:showField="CatchAllData" ma:web="bb347fad-eec2-4f91-9544-a215c6ebe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7ac4577-dc17-46a5-8d18-9c7eccbc91ad">
      <Terms xmlns="http://schemas.microsoft.com/office/infopath/2007/PartnerControls"/>
    </lcf76f155ced4ddcb4097134ff3c332f>
    <TaxCatchAll xmlns="bb347fad-eec2-4f91-9544-a215c6ebeee9" xsi:nil="true"/>
  </documentManagement>
</p:properties>
</file>

<file path=customXml/itemProps1.xml><?xml version="1.0" encoding="utf-8"?>
<ds:datastoreItem xmlns:ds="http://schemas.openxmlformats.org/officeDocument/2006/customXml" ds:itemID="{E1B0C206-7819-4155-8777-7B41650792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ac4577-dc17-46a5-8d18-9c7eccbc91ad"/>
    <ds:schemaRef ds:uri="bb347fad-eec2-4f91-9544-a215c6ebee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ED18D2-647D-46CB-8068-EB500FF41D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E1B6C4-23E4-46E3-A41F-03B2C34A2686}">
  <ds:schemaRefs>
    <ds:schemaRef ds:uri="http://schemas.microsoft.com/office/2006/metadata/properties"/>
    <ds:schemaRef ds:uri="http://schemas.microsoft.com/office/infopath/2007/PartnerControls"/>
    <ds:schemaRef ds:uri="c7ac4577-dc17-46a5-8d18-9c7eccbc91ad"/>
    <ds:schemaRef ds:uri="bb347fad-eec2-4f91-9544-a215c6ebeee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Cardapio</vt:lpstr>
      <vt:lpstr>Cardapio!Criterios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Roney Miranda</dc:creator>
  <cp:lastModifiedBy>Roney Miranda</cp:lastModifiedBy>
  <dcterms:created xsi:type="dcterms:W3CDTF">2025-03-12T15:08:18Z</dcterms:created>
  <dcterms:modified xsi:type="dcterms:W3CDTF">2025-03-21T18:37:34Z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0x010100406771D2B3193649A0162219028D81F4</vt:lpwstr>
  </property>
  <property fmtid="{D5CDD505-2E9C-101B-9397-08002B2CF9AE}" pid="3" name="MediaServiceImageTags">
    <vt:lpwstr/>
  </property>
</Properties>
</file>